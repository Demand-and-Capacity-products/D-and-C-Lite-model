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KeithKhunpha\Downloads\"/>
    </mc:Choice>
  </mc:AlternateContent>
  <xr:revisionPtr revIDLastSave="0" documentId="13_ncr:1_{276366B1-E3B7-4F17-9AB7-4149A85E482A}" xr6:coauthVersionLast="47" xr6:coauthVersionMax="47" xr10:uidLastSave="{00000000-0000-0000-0000-000000000000}"/>
  <bookViews>
    <workbookView xWindow="-120" yWindow="-120" windowWidth="23280" windowHeight="15000" tabRatio="717" firstSheet="1" activeTab="1" xr2:uid="{00000000-000D-0000-FFFF-FFFF00000000}"/>
  </bookViews>
  <sheets>
    <sheet name="Version Control" sheetId="27" state="hidden" r:id="rId1"/>
    <sheet name="Intro &amp; Notes" sheetId="26" r:id="rId2"/>
    <sheet name="Stage 1" sheetId="24" r:id="rId3"/>
    <sheet name="Stage 2" sheetId="18" r:id="rId4"/>
    <sheet name="Stage 3" sheetId="25" r:id="rId5"/>
  </sheets>
  <definedNames>
    <definedName name="CapacityCount">'Stage 2'!$M$10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0" i="18" l="1"/>
  <c r="G6" i="25"/>
  <c r="E20" i="18" l="1"/>
  <c r="F20" i="18"/>
  <c r="E21" i="18"/>
  <c r="F21" i="18"/>
  <c r="E22" i="18"/>
  <c r="F22" i="18"/>
  <c r="E23" i="18"/>
  <c r="F23" i="18"/>
  <c r="E24" i="18"/>
  <c r="F24" i="18"/>
  <c r="E25" i="18"/>
  <c r="F25" i="18"/>
  <c r="F12" i="18"/>
  <c r="F13" i="18"/>
  <c r="F14" i="18"/>
  <c r="F15" i="18"/>
  <c r="F16" i="18"/>
  <c r="F17" i="18"/>
  <c r="F18" i="18"/>
  <c r="F19" i="18"/>
  <c r="F26" i="18"/>
  <c r="F27" i="18"/>
  <c r="E12" i="18"/>
  <c r="E13" i="18"/>
  <c r="E14" i="18"/>
  <c r="E15" i="18"/>
  <c r="E16" i="18"/>
  <c r="E17" i="18"/>
  <c r="E18" i="18"/>
  <c r="E19" i="18"/>
  <c r="E26" i="18"/>
  <c r="E27" i="18"/>
  <c r="B54" i="18"/>
  <c r="B55" i="18" s="1"/>
  <c r="B57" i="18" s="1"/>
  <c r="G52" i="18"/>
  <c r="G51" i="18"/>
  <c r="G47" i="18"/>
  <c r="G46" i="18"/>
  <c r="G44" i="18"/>
  <c r="G43" i="18"/>
  <c r="G37" i="18"/>
  <c r="G36" i="18"/>
  <c r="G35" i="18"/>
  <c r="F30" i="18"/>
  <c r="E30" i="18"/>
  <c r="F29" i="18"/>
  <c r="E29" i="18"/>
  <c r="F28" i="18"/>
  <c r="E28" i="18"/>
  <c r="F11" i="18"/>
  <c r="E11" i="18"/>
  <c r="G7" i="18"/>
  <c r="B32" i="18" l="1"/>
  <c r="B39" i="18" s="1"/>
  <c r="B40" i="18" s="1"/>
  <c r="B58" i="18" s="1"/>
  <c r="B4" i="25" l="1"/>
  <c r="B8" i="25" s="1"/>
</calcChain>
</file>

<file path=xl/sharedStrings.xml><?xml version="1.0" encoding="utf-8"?>
<sst xmlns="http://schemas.openxmlformats.org/spreadsheetml/2006/main" count="146" uniqueCount="100">
  <si>
    <t>Total Hours</t>
  </si>
  <si>
    <t xml:space="preserve">Time Available </t>
  </si>
  <si>
    <t>Patient facing time / day (hours)</t>
  </si>
  <si>
    <t>Minutes per unit:</t>
  </si>
  <si>
    <t>Remaining capacity for new patients (units):</t>
  </si>
  <si>
    <t>Total units available:</t>
  </si>
  <si>
    <t>Total patient facing &amp; related hours:</t>
  </si>
  <si>
    <t>Current patient requirements - visits (units):</t>
  </si>
  <si>
    <t>Total patient facing time (hours)</t>
  </si>
  <si>
    <t>Capacity remaining for new patients (units):</t>
  </si>
  <si>
    <t>Current Patients requiring visits (patients):</t>
  </si>
  <si>
    <t>Thinking about your service, how can one 'unit' be described?</t>
  </si>
  <si>
    <t>One unit is equal to:</t>
  </si>
  <si>
    <t>minutes</t>
  </si>
  <si>
    <t>Thinking about your service, how will you calculate the current caseload size?</t>
  </si>
  <si>
    <t xml:space="preserve">We have </t>
  </si>
  <si>
    <t>current patients that will require a face to face visit</t>
  </si>
  <si>
    <t>current patients that will require remote support</t>
  </si>
  <si>
    <t>From Stage 1 assumptions:</t>
  </si>
  <si>
    <t>Thinking about your service, how will you calculate the current caseload unit requirement?</t>
  </si>
  <si>
    <t>Our current patients will require</t>
  </si>
  <si>
    <t>units for a face to face visit</t>
  </si>
  <si>
    <t>units for remote support</t>
  </si>
  <si>
    <r>
      <t xml:space="preserve">New Patient Time Requirement Assumptions
</t>
    </r>
    <r>
      <rPr>
        <sz val="11"/>
        <color theme="1"/>
        <rFont val="Calibri"/>
        <family val="2"/>
        <scheme val="minor"/>
      </rPr>
      <t>Similarly to patients currently on the caseload, we can then see how many new patients the service can see given the current caseload and the capacity available. 
This will depend on the number of units a new patient will use when joining the service, and can be different for face to face and remote support. As before, only patient facing time should be considered in calculating the number of units for these visits.</t>
    </r>
  </si>
  <si>
    <t>Thinking about your service, how will you calculate the new patient unit requirement?</t>
  </si>
  <si>
    <t>Our new patients will require</t>
  </si>
  <si>
    <t>Total units required for current patients:</t>
  </si>
  <si>
    <t>Time Availability Reduction</t>
  </si>
  <si>
    <t>Annual Leave</t>
  </si>
  <si>
    <t>Training/Teaching</t>
  </si>
  <si>
    <t>% Reduction:</t>
  </si>
  <si>
    <t>Total patient facing &amp; related hours (reduced):</t>
  </si>
  <si>
    <t>One to One Sessions</t>
  </si>
  <si>
    <t>Number of Group Sessions</t>
  </si>
  <si>
    <t>Staff required</t>
  </si>
  <si>
    <t>Duration</t>
  </si>
  <si>
    <t xml:space="preserve">Our patient facing time should be reduced by </t>
  </si>
  <si>
    <t>to account for annual leave</t>
  </si>
  <si>
    <t>to account for training/teaching</t>
  </si>
  <si>
    <t>to account for other reasons</t>
  </si>
  <si>
    <t>Thinking about your service, how are group sessions run?</t>
  </si>
  <si>
    <t>Each group session will require</t>
  </si>
  <si>
    <t>Each group session will take</t>
  </si>
  <si>
    <t>group sessions in a week</t>
  </si>
  <si>
    <t>members of staff</t>
  </si>
  <si>
    <t xml:space="preserve">Your service will run </t>
  </si>
  <si>
    <t>minutes to run</t>
  </si>
  <si>
    <t>Other (sickness and maternity leave)</t>
  </si>
  <si>
    <r>
      <t xml:space="preserve">Current Caseload Assumptions
</t>
    </r>
    <r>
      <rPr>
        <sz val="11"/>
        <color theme="1"/>
        <rFont val="Calibri"/>
        <family val="2"/>
        <scheme val="minor"/>
      </rPr>
      <t>To understand the balance of demand and capacity, we need to consider clients that are already on the caseload and requiring interaction with the service. It may be useful to use either the current caseload as a good predictor of the caseload next week, or a representative caseload size from a previous week if that is a better predictor.</t>
    </r>
    <r>
      <rPr>
        <b/>
        <sz val="11"/>
        <color theme="1"/>
        <rFont val="Calibri"/>
        <family val="2"/>
        <scheme val="minor"/>
      </rPr>
      <t xml:space="preserve"> 
</t>
    </r>
    <r>
      <rPr>
        <sz val="11"/>
        <color theme="1"/>
        <rFont val="Calibri"/>
        <family val="2"/>
        <scheme val="minor"/>
      </rPr>
      <t>The caseload should also be split into those that require a face-to-face clinical session, and those that will be managed via a remote consultation.</t>
    </r>
  </si>
  <si>
    <r>
      <t xml:space="preserve">Current Caseload Time Requirement Assumptions
</t>
    </r>
    <r>
      <rPr>
        <sz val="11"/>
        <color theme="1"/>
        <rFont val="Calibri"/>
        <family val="2"/>
        <scheme val="minor"/>
      </rPr>
      <t xml:space="preserve">To turn the outputs of the model into useable information, we calculate the unit requirement for the caseload. The first assumption that needs to be made is how many units are required for each current patient on the caseload. </t>
    </r>
    <r>
      <rPr>
        <b/>
        <sz val="11"/>
        <color theme="1"/>
        <rFont val="Calibri"/>
        <family val="2"/>
        <scheme val="minor"/>
      </rPr>
      <t xml:space="preserve">
</t>
    </r>
    <r>
      <rPr>
        <sz val="11"/>
        <color theme="1"/>
        <rFont val="Calibri"/>
        <family val="2"/>
        <scheme val="minor"/>
      </rPr>
      <t>When considering the time requirement for each patient on the existing caseload, it's important to make sure you are considering only the activities that fit under patient facing time. If, for example, you are not considering travel time in patient facing time, you should not consider it when calculating the number of units each current patient requires.</t>
    </r>
  </si>
  <si>
    <t>New patient requirements (units):</t>
  </si>
  <si>
    <t>No. of new patients contacts possible :</t>
  </si>
  <si>
    <t>Stage one - use the space below to add narrative to the assumptions that will be used in the modelling, completing the grey boxes so the information is available for you in stage 2</t>
  </si>
  <si>
    <t>Stage two - Complete a typical scenario for a typical week by entering information from your discussion in stage 1 in the grey boxes</t>
  </si>
  <si>
    <t>Working days per week 
(5 or 7)</t>
  </si>
  <si>
    <r>
      <t xml:space="preserve">Role </t>
    </r>
    <r>
      <rPr>
        <b/>
        <i/>
        <sz val="11"/>
        <color theme="1"/>
        <rFont val="Calibri"/>
        <family val="2"/>
        <scheme val="minor"/>
      </rPr>
      <t>(list the role within the team you are modelling)</t>
    </r>
  </si>
  <si>
    <t>WTE for the team (actual in post)</t>
  </si>
  <si>
    <t>Stage three - describe how you plan to use the remaining capacity, by adding the units required for new patients from stage 1</t>
  </si>
  <si>
    <t xml:space="preserve">units </t>
  </si>
  <si>
    <t xml:space="preserve">Welcome to the Demand and capacity Lite Model </t>
  </si>
  <si>
    <t>Stage 1</t>
  </si>
  <si>
    <t>Stage 2</t>
  </si>
  <si>
    <t>Stage 3</t>
  </si>
  <si>
    <t>Version Number</t>
  </si>
  <si>
    <t>Author</t>
  </si>
  <si>
    <t>This is designed for front-line team to improve understanding of patient facing time, the demand for current patients over a week and to establish how much time is left for new patient referrals.  It is aimed at organisations or services that are starting their Demand and Capacity journey or looking to complete a simple model and can also use this as preparatory work ahead of using more advanced tools that are available.</t>
  </si>
  <si>
    <t>Is best completed as a team discussion, working through the questions and recording information that is the 'best guess' and 'in general', appreciating every week can look different</t>
  </si>
  <si>
    <t>This will auto calculate the capacity to see new patients based on your numbers created in stage 2</t>
  </si>
  <si>
    <r>
      <t xml:space="preserve">Group/Clinic Session Assumptions
</t>
    </r>
    <r>
      <rPr>
        <sz val="11"/>
        <color theme="1"/>
        <rFont val="Calibri"/>
        <family val="2"/>
        <scheme val="minor"/>
      </rPr>
      <t>If your service uses group sessions or clinics for multiple people with short slots for things like injections, it is important to account for the impact they have on the availability of staff.</t>
    </r>
    <r>
      <rPr>
        <b/>
        <sz val="11"/>
        <color theme="1"/>
        <rFont val="Calibri"/>
        <family val="2"/>
        <scheme val="minor"/>
      </rPr>
      <t xml:space="preserve">
</t>
    </r>
    <r>
      <rPr>
        <sz val="11"/>
        <color theme="1"/>
        <rFont val="Calibri"/>
        <family val="2"/>
        <scheme val="minor"/>
      </rPr>
      <t>Your service should consider how many group/clinic sessions are run per week, how long these sessions take, and how many staff are required to run the group session.</t>
    </r>
  </si>
  <si>
    <t>Total Minutes Required for Group/Clinic Sessions</t>
  </si>
  <si>
    <t>Total Units Required for Group/Clinic  Sessions</t>
  </si>
  <si>
    <t xml:space="preserve">Demand and capacity modelling will never be 100% accurate, however, it is feasible to populate the model such that it is good enough to support your operational service planning and inform improvement ideas.  This model can also be used for testing scenarios e.g. changes in workforce, or ways of delivering the service. </t>
  </si>
  <si>
    <t>Current Patients requiring remote/clinic support (patients):</t>
  </si>
  <si>
    <t>Current patient requirements - remote/clinic support (units):</t>
  </si>
  <si>
    <t>Group/Clinic (&gt;15 mins per patient) Sessions</t>
  </si>
  <si>
    <t>Whole Time Equivalent value (hours):</t>
  </si>
  <si>
    <t>Capacity Count</t>
  </si>
  <si>
    <t>Trust &amp; Service Name</t>
  </si>
  <si>
    <r>
      <t xml:space="preserve">Patient Facing Time Reduction
</t>
    </r>
    <r>
      <rPr>
        <sz val="11"/>
        <color theme="1"/>
        <rFont val="Calibri"/>
        <family val="2"/>
        <scheme val="minor"/>
      </rPr>
      <t xml:space="preserve">Patient facing time may be further impacted by additional situation which affect the whole team, including annual leave, sickness and training or teaching activities.  Vacancies are taken into account by only modelling on the staff in post.  
You may have actual figures to hand or you can make a judgement, most teams work on the assumption that around 25% of staffing will be reduced at any one time due to normal workforce patterns, but you have  more or less, so it helps to be realistic. 
</t>
    </r>
  </si>
  <si>
    <t xml:space="preserve">Allows you to add some numbers into the grey boxes, including staff in post and the assumptions you have made in stage 1 </t>
  </si>
  <si>
    <t xml:space="preserve">Thinking about your service, how much of your staff's time is used for patient facing activity per week? </t>
  </si>
  <si>
    <t>Thinking about your service, how much does your patient facing time need to be reduced due to other reasons?</t>
  </si>
  <si>
    <r>
      <t xml:space="preserve">Unit Assumptions
</t>
    </r>
    <r>
      <rPr>
        <sz val="11"/>
        <color theme="1"/>
        <rFont val="Calibri"/>
        <family val="2"/>
        <scheme val="minor"/>
      </rPr>
      <t>It can be useful to think about your caseload in units of work, as we know different types of appointment and different types of client will require different amounts of staff time. Creating a standard unit of time across the staff groups helps get the balance of staff availability for these different pathways.</t>
    </r>
    <r>
      <rPr>
        <b/>
        <sz val="11"/>
        <color theme="1"/>
        <rFont val="Calibri"/>
        <family val="2"/>
        <scheme val="minor"/>
      </rPr>
      <t xml:space="preserve">  If your organisation does not use this measure please model in hours i.e. 1 unit = 60 mins.</t>
    </r>
  </si>
  <si>
    <t>Date</t>
  </si>
  <si>
    <t>Comments</t>
  </si>
  <si>
    <t>Paul Bullard</t>
  </si>
  <si>
    <t>Live version 1</t>
  </si>
  <si>
    <t xml:space="preserve">Example </t>
  </si>
  <si>
    <r>
      <t xml:space="preserve">Patient/client Facing Time Assumptions
</t>
    </r>
    <r>
      <rPr>
        <sz val="11"/>
        <color theme="1"/>
        <rFont val="Calibri"/>
        <family val="2"/>
        <scheme val="minor"/>
      </rPr>
      <t xml:space="preserve">Patient facing time is made up of time that is available for seeing patients both face to face and via remote consultation.  Travel, notes writing and phone calls can be included in patient-related activity.  Different roles within the team will have different time available.  Non-patient facing time may include important team events such as handovers, team meetings, MDT meetings, clinical supervision etc. In the box below estimate each day per role/band how much is available for direct patient care and patient related activities by taking off the time required for non-patient facing activities </t>
    </r>
    <r>
      <rPr>
        <i/>
        <sz val="11"/>
        <color theme="1"/>
        <rFont val="Calibri"/>
        <family val="2"/>
        <scheme val="minor"/>
      </rPr>
      <t>(you will add this information to Column C in stage 2).</t>
    </r>
    <r>
      <rPr>
        <sz val="11"/>
        <color theme="1"/>
        <rFont val="Calibri"/>
        <family val="2"/>
        <scheme val="minor"/>
      </rPr>
      <t xml:space="preserve"> </t>
    </r>
  </si>
  <si>
    <t>The organisation use a unit system which is 1 unit = 15 mins.</t>
  </si>
  <si>
    <t xml:space="preserve">Home visits take 2 hours (8 units) including travel and record keeping.  Those able to come to individual clinic visits or are  supported over the phone require 1 hour (4 units) including record keeping. </t>
  </si>
  <si>
    <r>
      <t xml:space="preserve">The team leader (Band 7) has a variety of clinical and staff related responsibilities including admin, reports, staff support and urgent clinical responsibilities, therefore it could be estimated that approx. 3 hours per day are clinical = 15 per week.
Registered staff (Bands 6 &amp; 5), on average have 5 hours per day as clinical = 25 per week, taking into account breaks, handover, MDT meetings.  Support staff (Band 3), on average have 6 hours per day as clinical = 30 per week, taking into account breaks and handovers.  Patient-facing/clinical time includes travel, face to face consultation and notes.
</t>
    </r>
    <r>
      <rPr>
        <b/>
        <i/>
        <sz val="11"/>
        <color theme="1"/>
        <rFont val="Calibri"/>
        <family val="2"/>
        <scheme val="minor"/>
      </rPr>
      <t>Therefore: Band 7 = 3 hours, Band 6 &amp; 5 = 5 hours and Band 3 = 6 hours patient-facing will be added from stage 2 (next tab) from column C11.</t>
    </r>
  </si>
  <si>
    <r>
      <t xml:space="preserve">About 40% in total which takes into account leave, training with other reasons including sickness (higher related to COVID) and 10% of the workforce is required to cover the weekend (2 wtes @ weekend vs. a total of 19 wte available). 
</t>
    </r>
    <r>
      <rPr>
        <b/>
        <i/>
        <sz val="11"/>
        <color theme="1"/>
        <rFont val="Calibri"/>
        <family val="2"/>
        <scheme val="minor"/>
      </rPr>
      <t xml:space="preserve">The model will work with 7-day services who provide a similar level of support across 7-days, for this example it is a small resource covering urgent calls only therefore the core hours capacity are adjusted.  This can be added from column D11. 
</t>
    </r>
  </si>
  <si>
    <t xml:space="preserve">4 staff provide care for patients with complex needs across 5 days (with cover for these patients at the weekend), 25 patients are currently on the shared care caseload and have contact once a week, which is about 5 a day (face to face).  Follow-up at home/clinic support for clients on the routine caseload is provided by the care coordinator who have about 35 clients each and aim to see 3 clients a day.  This is about 50% at home and 50% in a clinic/remote.  
Based on about 10 qualified staff per day (week days); 4 staff are providing complex care (5 clients per day) and 6 staff are providing routine care (18 clients per day), which is 95 per week (50 face to face &amp; 45 clinic/remote).
In addition about 30 patients per week require a home visit for a depot injection because they are unable to come to clinic. 
</t>
  </si>
  <si>
    <t xml:space="preserve">New clients will require 2.5 hours (10 units) including prep, appointment and note writing, all new clients are seen in clinic.  We have accounted for the allocation and MDT discussion for new patients in the non-patient facing activity. 
</t>
  </si>
  <si>
    <r>
      <t xml:space="preserve">There are 2 clinics a week for depot injections (requires 2 team members) - this will be categorised as a group as the clinic slots are quite short and enable a number of people to be seen within a few hours.  There is also a once a week clozapine clinic (requires 2 team members). Clinic sessions run for 4 hours (250 minutes) which includes admin time. 
We run a weekly support group for patients, up to 12 in a group, currently we have 2 groups running.  
</t>
    </r>
    <r>
      <rPr>
        <b/>
        <i/>
        <sz val="11"/>
        <color theme="1"/>
        <rFont val="Calibri"/>
        <family val="2"/>
        <scheme val="minor"/>
      </rPr>
      <t xml:space="preserve">This allows resource to be protected for these sessions if part of your service (if not please leave this blank). </t>
    </r>
    <r>
      <rPr>
        <i/>
        <sz val="11"/>
        <color theme="1"/>
        <rFont val="Calibri"/>
        <family val="2"/>
        <scheme val="minor"/>
      </rPr>
      <t xml:space="preserve">
</t>
    </r>
  </si>
  <si>
    <t xml:space="preserve">Notes </t>
  </si>
  <si>
    <t>Version/author</t>
  </si>
  <si>
    <t>The model is designed to explore the following:</t>
  </si>
  <si>
    <t>Use the grey boxes to edit assumptions made in stage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</si>
</sst>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Calibri"/>
      <family val="2"/>
      <scheme val="minor"/>
    </font>
    <font>
      <b/>
      <sz val="11"/>
      <color theme="1"/>
      <name val="Calibri"/>
      <family val="2"/>
      <scheme val="minor"/>
    </font>
    <font>
      <sz val="11"/>
      <color theme="1"/>
      <name val="Calibri"/>
      <family val="2"/>
      <scheme val="minor"/>
    </font>
    <font>
      <b/>
      <i/>
      <sz val="11"/>
      <color theme="1"/>
      <name val="Calibri"/>
      <family val="2"/>
      <scheme val="minor"/>
    </font>
    <font>
      <sz val="11"/>
      <color theme="0"/>
      <name val="Calibri"/>
      <family val="2"/>
      <scheme val="minor"/>
    </font>
    <font>
      <sz val="11"/>
      <color rgb="FF000000"/>
      <name val="Calibri"/>
      <family val="2"/>
    </font>
    <font>
      <i/>
      <sz val="11"/>
      <color theme="1"/>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2"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14">
    <xf numFmtId="0" fontId="0" fillId="0" borderId="0" xfId="0"/>
    <xf numFmtId="2" fontId="0" fillId="0" borderId="0" xfId="0" applyNumberFormat="1"/>
    <xf numFmtId="164"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vertical="center" wrapText="1"/>
    </xf>
    <xf numFmtId="0" fontId="1" fillId="3" borderId="1" xfId="0" applyFont="1" applyFill="1" applyBorder="1"/>
    <xf numFmtId="0" fontId="1" fillId="0" borderId="0" xfId="0" applyFont="1"/>
    <xf numFmtId="0" fontId="0" fillId="0" borderId="4" xfId="0" applyBorder="1" applyAlignment="1">
      <alignment vertical="center" wrapText="1"/>
    </xf>
    <xf numFmtId="0" fontId="0" fillId="0" borderId="0" xfId="0" applyAlignment="1">
      <alignment vertical="center" wrapText="1"/>
    </xf>
    <xf numFmtId="2" fontId="1" fillId="0" borderId="0" xfId="0" applyNumberFormat="1" applyFont="1"/>
    <xf numFmtId="164" fontId="1" fillId="3" borderId="1" xfId="0" applyNumberFormat="1" applyFont="1" applyFill="1" applyBorder="1"/>
    <xf numFmtId="0" fontId="0" fillId="5" borderId="1" xfId="0" applyFill="1" applyBorder="1"/>
    <xf numFmtId="0" fontId="0" fillId="0" borderId="0" xfId="0" applyAlignment="1">
      <alignment vertical="top"/>
    </xf>
    <xf numFmtId="0" fontId="0" fillId="0" borderId="0" xfId="0" applyAlignment="1">
      <alignment vertical="top" wrapText="1"/>
    </xf>
    <xf numFmtId="0" fontId="1" fillId="6" borderId="11" xfId="0" applyFont="1" applyFill="1" applyBorder="1" applyAlignment="1">
      <alignment horizontal="center" vertical="top"/>
    </xf>
    <xf numFmtId="0" fontId="1" fillId="3" borderId="1" xfId="0" applyFont="1" applyFill="1" applyBorder="1" applyAlignment="1">
      <alignment horizontal="center" vertical="center" wrapText="1"/>
    </xf>
    <xf numFmtId="0" fontId="1" fillId="3" borderId="1" xfId="0" applyFont="1" applyFill="1" applyBorder="1" applyAlignment="1">
      <alignment horizontal="left" vertical="center" wrapText="1"/>
    </xf>
    <xf numFmtId="0" fontId="1" fillId="5" borderId="1" xfId="0" applyFont="1" applyFill="1" applyBorder="1"/>
    <xf numFmtId="0" fontId="0" fillId="0" borderId="0" xfId="0" applyAlignment="1">
      <alignment horizontal="center"/>
    </xf>
    <xf numFmtId="9" fontId="1" fillId="3" borderId="1" xfId="1" applyFont="1" applyFill="1" applyBorder="1"/>
    <xf numFmtId="0" fontId="0" fillId="0" borderId="0" xfId="0" applyAlignment="1">
      <alignment horizontal="center" wrapText="1"/>
    </xf>
    <xf numFmtId="0" fontId="0" fillId="0" borderId="0" xfId="0" applyAlignment="1">
      <alignment vertical="center"/>
    </xf>
    <xf numFmtId="0" fontId="0" fillId="0" borderId="0" xfId="0" applyAlignment="1">
      <alignment horizontal="left" vertical="center" wrapText="1"/>
    </xf>
    <xf numFmtId="0" fontId="0" fillId="13" borderId="0" xfId="0" applyFill="1" applyAlignment="1">
      <alignment horizontal="center" vertical="center" wrapText="1"/>
    </xf>
    <xf numFmtId="0" fontId="0" fillId="13" borderId="0" xfId="0" applyFill="1"/>
    <xf numFmtId="0" fontId="0" fillId="7" borderId="1" xfId="0" applyFill="1" applyBorder="1" applyAlignment="1">
      <alignment vertical="center"/>
    </xf>
    <xf numFmtId="0" fontId="0" fillId="10" borderId="1" xfId="0" applyFill="1" applyBorder="1" applyAlignment="1">
      <alignment vertical="center"/>
    </xf>
    <xf numFmtId="0" fontId="0" fillId="11" borderId="1" xfId="0" applyFill="1" applyBorder="1" applyAlignment="1">
      <alignment vertical="center"/>
    </xf>
    <xf numFmtId="0" fontId="4" fillId="0" borderId="0" xfId="0" applyFont="1"/>
    <xf numFmtId="0" fontId="0" fillId="0" borderId="1" xfId="0" applyBorder="1"/>
    <xf numFmtId="14" fontId="0" fillId="0" borderId="1" xfId="0" applyNumberFormat="1" applyBorder="1"/>
    <xf numFmtId="9" fontId="0" fillId="15" borderId="1" xfId="0" applyNumberFormat="1" applyFill="1" applyBorder="1" applyAlignment="1">
      <alignment horizontal="center"/>
    </xf>
    <xf numFmtId="0" fontId="0" fillId="5" borderId="1" xfId="0" applyFill="1" applyBorder="1" applyAlignment="1">
      <alignment horizontal="center" vertical="top"/>
    </xf>
    <xf numFmtId="0" fontId="1" fillId="7" borderId="1" xfId="0" applyFont="1" applyFill="1" applyBorder="1"/>
    <xf numFmtId="0" fontId="1" fillId="7" borderId="11" xfId="0" applyFont="1" applyFill="1" applyBorder="1" applyAlignment="1">
      <alignment horizontal="center" vertical="top"/>
    </xf>
    <xf numFmtId="0" fontId="1" fillId="6" borderId="1" xfId="0" applyFont="1" applyFill="1" applyBorder="1"/>
    <xf numFmtId="0" fontId="0" fillId="16" borderId="1" xfId="0" applyFill="1" applyBorder="1" applyAlignment="1">
      <alignment horizontal="left" wrapText="1"/>
    </xf>
    <xf numFmtId="0" fontId="0" fillId="0" borderId="1" xfId="0" applyBorder="1" applyAlignment="1" applyProtection="1">
      <alignment horizontal="left" vertical="top" wrapText="1"/>
      <protection locked="0"/>
    </xf>
    <xf numFmtId="9" fontId="0" fillId="5" borderId="1" xfId="1" applyFont="1" applyFill="1" applyBorder="1" applyAlignment="1" applyProtection="1">
      <alignment vertical="top"/>
      <protection locked="0"/>
    </xf>
    <xf numFmtId="0" fontId="0" fillId="5" borderId="1" xfId="0" applyFill="1" applyBorder="1" applyAlignment="1" applyProtection="1">
      <alignment vertical="top"/>
      <protection locked="0"/>
    </xf>
    <xf numFmtId="0" fontId="1" fillId="5" borderId="1" xfId="0" applyFont="1" applyFill="1" applyBorder="1" applyProtection="1">
      <protection locked="0"/>
    </xf>
    <xf numFmtId="0" fontId="0" fillId="5" borderId="1" xfId="0" applyFill="1" applyBorder="1" applyProtection="1">
      <protection locked="0"/>
    </xf>
    <xf numFmtId="9" fontId="0" fillId="5" borderId="1" xfId="1" applyFont="1" applyFill="1" applyBorder="1" applyProtection="1">
      <protection locked="0"/>
    </xf>
    <xf numFmtId="0" fontId="4" fillId="0" borderId="0" xfId="0" applyFont="1" applyProtection="1">
      <protection locked="0"/>
    </xf>
    <xf numFmtId="0" fontId="1" fillId="3" borderId="2" xfId="0" applyFont="1" applyFill="1" applyBorder="1"/>
    <xf numFmtId="0" fontId="1" fillId="3" borderId="11" xfId="0" applyFont="1" applyFill="1" applyBorder="1"/>
    <xf numFmtId="0" fontId="0" fillId="14" borderId="1" xfId="0" applyFill="1" applyBorder="1" applyAlignment="1">
      <alignment horizontal="left"/>
    </xf>
    <xf numFmtId="0" fontId="0" fillId="11" borderId="0" xfId="0" applyFill="1" applyAlignment="1">
      <alignment horizontal="center" vertical="center"/>
    </xf>
    <xf numFmtId="0" fontId="0" fillId="11" borderId="6" xfId="0" applyFill="1" applyBorder="1" applyAlignment="1">
      <alignment horizontal="center" vertical="center"/>
    </xf>
    <xf numFmtId="0" fontId="0" fillId="7" borderId="7" xfId="0" applyFill="1" applyBorder="1" applyAlignment="1" applyProtection="1">
      <alignment horizontal="left" vertical="center"/>
      <protection locked="0"/>
    </xf>
    <xf numFmtId="0" fontId="0" fillId="7" borderId="8" xfId="0" applyFill="1" applyBorder="1" applyAlignment="1" applyProtection="1">
      <alignment horizontal="left" vertical="center"/>
      <protection locked="0"/>
    </xf>
    <xf numFmtId="0" fontId="0" fillId="7" borderId="9" xfId="0" applyFill="1" applyBorder="1" applyAlignment="1" applyProtection="1">
      <alignment horizontal="left" vertical="center"/>
      <protection locked="0"/>
    </xf>
    <xf numFmtId="0" fontId="0" fillId="7" borderId="5" xfId="0" applyFill="1" applyBorder="1" applyAlignment="1" applyProtection="1">
      <alignment horizontal="left" vertical="center"/>
      <protection locked="0"/>
    </xf>
    <xf numFmtId="0" fontId="0" fillId="7" borderId="6" xfId="0" applyFill="1" applyBorder="1" applyAlignment="1" applyProtection="1">
      <alignment horizontal="left" vertical="center"/>
      <protection locked="0"/>
    </xf>
    <xf numFmtId="0" fontId="0" fillId="7" borderId="10" xfId="0" applyFill="1" applyBorder="1" applyAlignment="1" applyProtection="1">
      <alignment horizontal="left" vertical="center"/>
      <protection locked="0"/>
    </xf>
    <xf numFmtId="0" fontId="0" fillId="9" borderId="1" xfId="0" applyFill="1" applyBorder="1" applyAlignment="1">
      <alignment horizontal="center" vertical="center"/>
    </xf>
    <xf numFmtId="0" fontId="0" fillId="8" borderId="1" xfId="0" applyFill="1" applyBorder="1" applyAlignment="1">
      <alignment horizontal="center" vertical="center" wrapText="1"/>
    </xf>
    <xf numFmtId="0" fontId="0" fillId="16" borderId="1" xfId="0" applyFill="1" applyBorder="1" applyAlignment="1">
      <alignment horizontal="left" wrapText="1"/>
    </xf>
    <xf numFmtId="0" fontId="0" fillId="0" borderId="1" xfId="0" applyBorder="1" applyAlignment="1" applyProtection="1">
      <alignment horizontal="left" vertical="top" wrapText="1"/>
      <protection locked="0"/>
    </xf>
    <xf numFmtId="0" fontId="0" fillId="7" borderId="1" xfId="0" applyFill="1" applyBorder="1" applyAlignment="1">
      <alignment horizontal="left" vertical="center" wrapText="1"/>
    </xf>
    <xf numFmtId="0" fontId="0" fillId="10" borderId="1" xfId="0" applyFill="1" applyBorder="1" applyAlignment="1">
      <alignment horizontal="left" vertical="center" wrapText="1"/>
    </xf>
    <xf numFmtId="0" fontId="0" fillId="11" borderId="1" xfId="0" applyFill="1" applyBorder="1" applyAlignment="1">
      <alignment horizontal="left" vertical="center" wrapText="1"/>
    </xf>
    <xf numFmtId="0" fontId="0" fillId="12" borderId="1" xfId="0" applyFill="1" applyBorder="1" applyAlignment="1">
      <alignment horizontal="center" vertical="center" wrapText="1"/>
    </xf>
    <xf numFmtId="0" fontId="1" fillId="7" borderId="2" xfId="0" applyFont="1" applyFill="1" applyBorder="1" applyAlignment="1">
      <alignment horizontal="left"/>
    </xf>
    <xf numFmtId="0" fontId="1" fillId="7" borderId="3" xfId="0" applyFont="1" applyFill="1" applyBorder="1" applyAlignment="1">
      <alignment horizontal="left"/>
    </xf>
    <xf numFmtId="0" fontId="1" fillId="7" borderId="11" xfId="0" applyFont="1" applyFill="1" applyBorder="1" applyAlignment="1">
      <alignment horizontal="left"/>
    </xf>
    <xf numFmtId="0" fontId="1" fillId="7" borderId="1" xfId="0" applyFont="1" applyFill="1" applyBorder="1" applyAlignment="1">
      <alignment horizontal="left"/>
    </xf>
    <xf numFmtId="0" fontId="0" fillId="7" borderId="1" xfId="0" applyFill="1" applyBorder="1" applyAlignment="1">
      <alignment horizontal="left"/>
    </xf>
    <xf numFmtId="0" fontId="6" fillId="0" borderId="1" xfId="0" applyFont="1" applyBorder="1" applyAlignment="1">
      <alignment horizontal="left" vertical="top" wrapText="1"/>
    </xf>
    <xf numFmtId="0" fontId="0" fillId="7" borderId="1" xfId="0" applyFill="1" applyBorder="1"/>
    <xf numFmtId="0" fontId="6" fillId="0" borderId="1" xfId="0" applyFont="1" applyBorder="1" applyAlignment="1">
      <alignment vertical="top" wrapText="1"/>
    </xf>
    <xf numFmtId="0" fontId="1" fillId="7" borderId="1" xfId="0" applyFont="1" applyFill="1" applyBorder="1" applyAlignment="1">
      <alignment horizontal="left" vertical="top" wrapText="1"/>
    </xf>
    <xf numFmtId="0" fontId="1" fillId="6" borderId="1" xfId="0" applyFont="1" applyFill="1" applyBorder="1" applyAlignment="1">
      <alignment horizontal="left"/>
    </xf>
    <xf numFmtId="0" fontId="1" fillId="6" borderId="1" xfId="0" applyFont="1" applyFill="1" applyBorder="1" applyAlignment="1">
      <alignment horizontal="left" vertical="top"/>
    </xf>
    <xf numFmtId="0" fontId="1" fillId="6" borderId="1" xfId="0" applyFont="1" applyFill="1" applyBorder="1" applyAlignment="1">
      <alignment horizontal="left" vertical="top" wrapText="1"/>
    </xf>
    <xf numFmtId="0" fontId="0" fillId="0" borderId="7" xfId="0" applyBorder="1" applyAlignment="1" applyProtection="1">
      <alignment horizontal="left" vertical="top"/>
      <protection locked="0"/>
    </xf>
    <xf numFmtId="0" fontId="0" fillId="0" borderId="8" xfId="0" applyBorder="1" applyAlignment="1" applyProtection="1">
      <alignment horizontal="left" vertical="top"/>
      <protection locked="0"/>
    </xf>
    <xf numFmtId="0" fontId="0" fillId="0" borderId="9" xfId="0" applyBorder="1" applyAlignment="1" applyProtection="1">
      <alignment horizontal="left" vertical="top"/>
      <protection locked="0"/>
    </xf>
    <xf numFmtId="0" fontId="0" fillId="0" borderId="4" xfId="0" applyBorder="1" applyAlignment="1" applyProtection="1">
      <alignment horizontal="left" vertical="top"/>
      <protection locked="0"/>
    </xf>
    <xf numFmtId="0" fontId="0" fillId="0" borderId="0" xfId="0" applyAlignment="1" applyProtection="1">
      <alignment horizontal="left" vertical="top"/>
      <protection locked="0"/>
    </xf>
    <xf numFmtId="0" fontId="0" fillId="0" borderId="13" xfId="0" applyBorder="1" applyAlignment="1" applyProtection="1">
      <alignment horizontal="left" vertical="top"/>
      <protection locked="0"/>
    </xf>
    <xf numFmtId="0" fontId="0" fillId="0" borderId="5" xfId="0" applyBorder="1" applyAlignment="1" applyProtection="1">
      <alignment horizontal="left" vertical="top"/>
      <protection locked="0"/>
    </xf>
    <xf numFmtId="0" fontId="0" fillId="0" borderId="6" xfId="0" applyBorder="1" applyAlignment="1" applyProtection="1">
      <alignment horizontal="left" vertical="top"/>
      <protection locked="0"/>
    </xf>
    <xf numFmtId="0" fontId="0" fillId="0" borderId="10" xfId="0" applyBorder="1" applyAlignment="1" applyProtection="1">
      <alignment horizontal="left" vertical="top"/>
      <protection locked="0"/>
    </xf>
    <xf numFmtId="0" fontId="1" fillId="6" borderId="3" xfId="0" applyFont="1" applyFill="1" applyBorder="1" applyAlignment="1">
      <alignment horizontal="left" vertical="top" wrapText="1"/>
    </xf>
    <xf numFmtId="0" fontId="1" fillId="6" borderId="11" xfId="0" applyFont="1" applyFill="1" applyBorder="1" applyAlignment="1">
      <alignment horizontal="left" vertical="top" wrapText="1"/>
    </xf>
    <xf numFmtId="0" fontId="0" fillId="0" borderId="1" xfId="0" applyBorder="1" applyAlignment="1" applyProtection="1">
      <alignment horizontal="left" vertical="top"/>
      <protection locked="0"/>
    </xf>
    <xf numFmtId="0" fontId="0" fillId="0" borderId="12" xfId="0" applyBorder="1" applyAlignment="1" applyProtection="1">
      <alignment horizontal="left" vertical="top"/>
      <protection locked="0"/>
    </xf>
    <xf numFmtId="0" fontId="1" fillId="6" borderId="2" xfId="0" applyFont="1" applyFill="1" applyBorder="1" applyAlignment="1">
      <alignment horizontal="left"/>
    </xf>
    <xf numFmtId="0" fontId="1" fillId="6" borderId="3" xfId="0" applyFont="1" applyFill="1" applyBorder="1" applyAlignment="1">
      <alignment horizontal="left"/>
    </xf>
    <xf numFmtId="0" fontId="1" fillId="6" borderId="11" xfId="0" applyFont="1" applyFill="1" applyBorder="1" applyAlignment="1">
      <alignment horizontal="left"/>
    </xf>
    <xf numFmtId="0" fontId="1" fillId="6" borderId="5" xfId="0" applyFont="1" applyFill="1" applyBorder="1" applyAlignment="1">
      <alignment horizontal="left" vertical="top"/>
    </xf>
    <xf numFmtId="0" fontId="1" fillId="6" borderId="6" xfId="0" applyFont="1" applyFill="1" applyBorder="1" applyAlignment="1">
      <alignment horizontal="left" vertical="top"/>
    </xf>
    <xf numFmtId="0" fontId="0" fillId="0" borderId="12" xfId="0" applyBorder="1" applyAlignment="1" applyProtection="1">
      <alignment horizontal="left" vertical="top" wrapText="1"/>
      <protection locked="0"/>
    </xf>
    <xf numFmtId="0" fontId="1" fillId="4" borderId="1" xfId="0" applyFont="1" applyFill="1" applyBorder="1" applyAlignment="1">
      <alignment horizontal="center" wrapText="1"/>
    </xf>
    <xf numFmtId="0" fontId="0" fillId="6" borderId="1" xfId="0" applyFill="1" applyBorder="1" applyAlignment="1">
      <alignment horizontal="left" vertical="top"/>
    </xf>
    <xf numFmtId="0" fontId="1" fillId="6" borderId="7" xfId="0" applyFont="1" applyFill="1" applyBorder="1" applyAlignment="1">
      <alignment horizontal="left" vertical="top" wrapText="1"/>
    </xf>
    <xf numFmtId="0" fontId="1" fillId="6" borderId="8" xfId="0" applyFont="1" applyFill="1" applyBorder="1" applyAlignment="1">
      <alignment horizontal="left" vertical="top" wrapText="1"/>
    </xf>
    <xf numFmtId="0" fontId="1" fillId="6" borderId="9" xfId="0" applyFont="1" applyFill="1" applyBorder="1" applyAlignment="1">
      <alignment horizontal="left" vertical="top" wrapText="1"/>
    </xf>
    <xf numFmtId="0" fontId="1" fillId="6" borderId="4" xfId="0" applyFont="1" applyFill="1" applyBorder="1" applyAlignment="1">
      <alignment horizontal="left" vertical="top" wrapText="1"/>
    </xf>
    <xf numFmtId="0" fontId="1" fillId="6" borderId="0" xfId="0" applyFont="1" applyFill="1" applyAlignment="1">
      <alignment horizontal="left" vertical="top" wrapText="1"/>
    </xf>
    <xf numFmtId="0" fontId="1" fillId="6" borderId="13" xfId="0" applyFont="1" applyFill="1" applyBorder="1" applyAlignment="1">
      <alignment horizontal="left" vertical="top" wrapText="1"/>
    </xf>
    <xf numFmtId="0" fontId="1" fillId="6" borderId="5" xfId="0" applyFont="1" applyFill="1" applyBorder="1" applyAlignment="1">
      <alignment horizontal="left" vertical="top" wrapText="1"/>
    </xf>
    <xf numFmtId="0" fontId="1" fillId="6" borderId="6" xfId="0" applyFont="1" applyFill="1" applyBorder="1" applyAlignment="1">
      <alignment horizontal="left" vertical="top" wrapText="1"/>
    </xf>
    <xf numFmtId="0" fontId="1" fillId="6" borderId="10" xfId="0" applyFont="1" applyFill="1" applyBorder="1" applyAlignment="1">
      <alignment horizontal="left" vertical="top" wrapText="1"/>
    </xf>
    <xf numFmtId="0" fontId="0" fillId="2" borderId="0" xfId="0" applyFill="1" applyAlignment="1">
      <alignment horizontal="center"/>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4" borderId="4" xfId="0" applyFont="1" applyFill="1" applyBorder="1" applyAlignment="1">
      <alignment horizontal="center"/>
    </xf>
    <xf numFmtId="0" fontId="1" fillId="4" borderId="0" xfId="0" applyFont="1" applyFill="1" applyAlignment="1">
      <alignment horizontal="center"/>
    </xf>
    <xf numFmtId="0" fontId="1" fillId="3" borderId="2" xfId="0" applyFont="1" applyFill="1" applyBorder="1" applyAlignment="1">
      <alignment horizontal="left"/>
    </xf>
    <xf numFmtId="0" fontId="1" fillId="3" borderId="11" xfId="0" applyFont="1" applyFill="1" applyBorder="1" applyAlignment="1">
      <alignment horizontal="left"/>
    </xf>
    <xf numFmtId="0" fontId="1" fillId="4" borderId="1" xfId="0" applyFont="1" applyFill="1" applyBorder="1" applyAlignment="1">
      <alignment horizontal="center"/>
    </xf>
  </cellXfs>
  <cellStyles count="2">
    <cellStyle name="Normal" xfId="0" builtinId="0"/>
    <cellStyle name="Per 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456266</xdr:colOff>
      <xdr:row>31</xdr:row>
      <xdr:rowOff>16329</xdr:rowOff>
    </xdr:from>
    <xdr:to>
      <xdr:col>18</xdr:col>
      <xdr:colOff>576504</xdr:colOff>
      <xdr:row>52</xdr:row>
      <xdr:rowOff>38100</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stretch>
          <a:fillRect/>
        </a:stretch>
      </xdr:blipFill>
      <xdr:spPr>
        <a:xfrm>
          <a:off x="456266" y="5626554"/>
          <a:ext cx="13207588" cy="3822246"/>
        </a:xfrm>
        <a:prstGeom prst="rect">
          <a:avLst/>
        </a:prstGeom>
      </xdr:spPr>
    </xdr:pic>
    <xdr:clientData/>
  </xdr:twoCellAnchor>
  <xdr:twoCellAnchor editAs="oneCell">
    <xdr:from>
      <xdr:col>19</xdr:col>
      <xdr:colOff>603250</xdr:colOff>
      <xdr:row>0</xdr:row>
      <xdr:rowOff>38100</xdr:rowOff>
    </xdr:from>
    <xdr:to>
      <xdr:col>21</xdr:col>
      <xdr:colOff>258991</xdr:colOff>
      <xdr:row>5</xdr:row>
      <xdr:rowOff>908</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44550" y="38100"/>
          <a:ext cx="876300" cy="876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29</xdr:col>
      <xdr:colOff>592666</xdr:colOff>
      <xdr:row>0</xdr:row>
      <xdr:rowOff>49388</xdr:rowOff>
    </xdr:from>
    <xdr:to>
      <xdr:col>31</xdr:col>
      <xdr:colOff>259548</xdr:colOff>
      <xdr:row>5</xdr:row>
      <xdr:rowOff>9772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024555" y="49388"/>
          <a:ext cx="876300" cy="876300"/>
        </a:xfrm>
        <a:prstGeom prst="rect">
          <a:avLst/>
        </a:prstGeom>
      </xdr:spPr>
    </xdr:pic>
    <xdr:clientData/>
  </xdr:twoCellAnchor>
  <xdr:twoCellAnchor editAs="oneCell">
    <xdr:from>
      <xdr:col>22</xdr:col>
      <xdr:colOff>55637</xdr:colOff>
      <xdr:row>0</xdr:row>
      <xdr:rowOff>137584</xdr:rowOff>
    </xdr:from>
    <xdr:to>
      <xdr:col>23</xdr:col>
      <xdr:colOff>373608</xdr:colOff>
      <xdr:row>5</xdr:row>
      <xdr:rowOff>96905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14660637" y="137584"/>
          <a:ext cx="972726" cy="861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19</xdr:col>
      <xdr:colOff>142875</xdr:colOff>
      <xdr:row>1</xdr:row>
      <xdr:rowOff>0</xdr:rowOff>
    </xdr:from>
    <xdr:to>
      <xdr:col>19</xdr:col>
      <xdr:colOff>358902</xdr:colOff>
      <xdr:row>1</xdr:row>
      <xdr:rowOff>47625</xdr:rowOff>
    </xdr:to>
    <xdr:sp macro="" textlink="">
      <xdr:nvSpPr>
        <xdr:cNvPr id="14" name="Arrow: Down 13">
          <a:extLst>
            <a:ext uri="{FF2B5EF4-FFF2-40B4-BE49-F238E27FC236}">
              <a16:creationId xmlns:a16="http://schemas.microsoft.com/office/drawing/2014/main" id="{00000000-0008-0000-0300-00000E000000}"/>
            </a:ext>
          </a:extLst>
        </xdr:cNvPr>
        <xdr:cNvSpPr/>
      </xdr:nvSpPr>
      <xdr:spPr>
        <a:xfrm>
          <a:off x="12639675" y="200025"/>
          <a:ext cx="216027" cy="209550"/>
        </a:xfrm>
        <a:prstGeom prst="downArrow">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6</xdr:col>
          <xdr:colOff>752475</xdr:colOff>
          <xdr:row>8</xdr:row>
          <xdr:rowOff>104775</xdr:rowOff>
        </xdr:from>
        <xdr:to>
          <xdr:col>8</xdr:col>
          <xdr:colOff>200025</xdr:colOff>
          <xdr:row>9</xdr:row>
          <xdr:rowOff>523875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Add Capacity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276225</xdr:colOff>
          <xdr:row>8</xdr:row>
          <xdr:rowOff>85725</xdr:rowOff>
        </xdr:from>
        <xdr:to>
          <xdr:col>9</xdr:col>
          <xdr:colOff>276225</xdr:colOff>
          <xdr:row>9</xdr:row>
          <xdr:rowOff>504825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 Capacity Line</a:t>
              </a:r>
            </a:p>
          </xdr:txBody>
        </xdr:sp>
        <xdr:clientData fPrintsWithSheet="0"/>
      </xdr:twoCellAnchor>
    </mc:Choice>
    <mc:Fallback/>
  </mc:AlternateContent>
  <xdr:twoCellAnchor editAs="oneCell">
    <xdr:from>
      <xdr:col>11</xdr:col>
      <xdr:colOff>6350</xdr:colOff>
      <xdr:row>0</xdr:row>
      <xdr:rowOff>50800</xdr:rowOff>
    </xdr:from>
    <xdr:to>
      <xdr:col>12</xdr:col>
      <xdr:colOff>130629</xdr:colOff>
      <xdr:row>5</xdr:row>
      <xdr:rowOff>7710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030200" y="50800"/>
          <a:ext cx="876300" cy="876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38100</xdr:colOff>
      <xdr:row>0</xdr:row>
      <xdr:rowOff>44450</xdr:rowOff>
    </xdr:from>
    <xdr:to>
      <xdr:col>14</xdr:col>
      <xdr:colOff>304800</xdr:colOff>
      <xdr:row>5</xdr:row>
      <xdr:rowOff>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03200" y="44450"/>
          <a:ext cx="876300" cy="876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DC47-0B41-46E0-A082-735AFAD389FE}">
  <sheetPr codeName="Sheet5"/>
  <dimension ref="A1:D2"/>
  <sheetViews>
    <sheetView workbookViewId="0">
      <selection activeCell="B7" sqref="B7"/>
    </sheetView>
  </sheetViews>
  <sheetFormatPr defaultRowHeight="15" x14ac:dyDescent="0.25"/>
  <cols>
    <col min="1" max="1" width="14.42578125" bestFit="1" customWidth="1"/>
    <col min="2" max="2" width="10.42578125" bestFit="1" customWidth="1"/>
    <col min="3" max="3" width="10.5703125" bestFit="1" customWidth="1"/>
    <col min="4" max="4" width="12" bestFit="1" customWidth="1"/>
  </cols>
  <sheetData>
    <row r="1" spans="1:4" x14ac:dyDescent="0.25">
      <c r="A1" s="29" t="s">
        <v>63</v>
      </c>
      <c r="B1" s="29" t="s">
        <v>83</v>
      </c>
      <c r="C1" s="29" t="s">
        <v>64</v>
      </c>
      <c r="D1" s="29" t="s">
        <v>84</v>
      </c>
    </row>
    <row r="2" spans="1:4" x14ac:dyDescent="0.25">
      <c r="A2" s="29">
        <v>1</v>
      </c>
      <c r="B2" s="30">
        <v>44586</v>
      </c>
      <c r="C2" s="29" t="s">
        <v>85</v>
      </c>
      <c r="D2" s="29" t="s">
        <v>86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C1B88-C39B-4673-8FEE-2CEA63CE5841}">
  <sheetPr codeName="Sheet1"/>
  <dimension ref="A1:S30"/>
  <sheetViews>
    <sheetView showGridLines="0" tabSelected="1" zoomScaleNormal="100" workbookViewId="0">
      <selection activeCell="G11" sqref="G11"/>
    </sheetView>
  </sheetViews>
  <sheetFormatPr defaultRowHeight="15" x14ac:dyDescent="0.25"/>
  <cols>
    <col min="1" max="1" width="21.42578125" bestFit="1" customWidth="1"/>
    <col min="2" max="2" width="10.85546875" bestFit="1" customWidth="1"/>
    <col min="3" max="3" width="13.42578125" bestFit="1" customWidth="1"/>
  </cols>
  <sheetData>
    <row r="1" spans="1:19" x14ac:dyDescent="0.25">
      <c r="A1" s="47" t="s">
        <v>77</v>
      </c>
      <c r="B1" s="49"/>
      <c r="C1" s="50"/>
      <c r="D1" s="50"/>
      <c r="E1" s="50"/>
      <c r="F1" s="50"/>
      <c r="G1" s="50"/>
      <c r="H1" s="50"/>
      <c r="I1" s="50"/>
      <c r="J1" s="50"/>
      <c r="K1" s="50"/>
      <c r="L1" s="50"/>
      <c r="M1" s="50"/>
      <c r="N1" s="50"/>
      <c r="O1" s="50"/>
      <c r="P1" s="50"/>
      <c r="Q1" s="50"/>
      <c r="R1" s="50"/>
      <c r="S1" s="51"/>
    </row>
    <row r="2" spans="1:19" x14ac:dyDescent="0.25">
      <c r="A2" s="48"/>
      <c r="B2" s="52"/>
      <c r="C2" s="53"/>
      <c r="D2" s="53"/>
      <c r="E2" s="53"/>
      <c r="F2" s="53"/>
      <c r="G2" s="53"/>
      <c r="H2" s="53"/>
      <c r="I2" s="53"/>
      <c r="J2" s="53"/>
      <c r="K2" s="53"/>
      <c r="L2" s="53"/>
      <c r="M2" s="53"/>
      <c r="N2" s="53"/>
      <c r="O2" s="53"/>
      <c r="P2" s="53"/>
      <c r="Q2" s="53"/>
      <c r="R2" s="53"/>
      <c r="S2" s="54"/>
    </row>
    <row r="3" spans="1:19" x14ac:dyDescent="0.25">
      <c r="A3" s="55" t="s">
        <v>59</v>
      </c>
      <c r="B3" s="55"/>
      <c r="C3" s="55"/>
      <c r="D3" s="55"/>
      <c r="E3" s="55"/>
      <c r="F3" s="55"/>
      <c r="G3" s="55"/>
      <c r="H3" s="55"/>
      <c r="I3" s="55"/>
      <c r="J3" s="55"/>
      <c r="K3" s="55"/>
      <c r="L3" s="55"/>
      <c r="M3" s="55"/>
      <c r="N3" s="55"/>
      <c r="O3" s="55"/>
      <c r="P3" s="55"/>
      <c r="Q3" s="55"/>
      <c r="R3" s="55"/>
      <c r="S3" s="55"/>
    </row>
    <row r="4" spans="1:19" x14ac:dyDescent="0.25">
      <c r="A4" s="55"/>
      <c r="B4" s="55"/>
      <c r="C4" s="55"/>
      <c r="D4" s="55"/>
      <c r="E4" s="55"/>
      <c r="F4" s="55"/>
      <c r="G4" s="55"/>
      <c r="H4" s="55"/>
      <c r="I4" s="55"/>
      <c r="J4" s="55"/>
      <c r="K4" s="55"/>
      <c r="L4" s="55"/>
      <c r="M4" s="55"/>
      <c r="N4" s="55"/>
      <c r="O4" s="55"/>
      <c r="P4" s="55"/>
      <c r="Q4" s="55"/>
      <c r="R4" s="55"/>
      <c r="S4" s="55"/>
    </row>
    <row r="5" spans="1:19" x14ac:dyDescent="0.25">
      <c r="A5" s="56" t="s">
        <v>65</v>
      </c>
      <c r="B5" s="56"/>
      <c r="C5" s="56"/>
      <c r="D5" s="56"/>
      <c r="E5" s="56"/>
      <c r="F5" s="56"/>
      <c r="G5" s="56"/>
      <c r="H5" s="56"/>
      <c r="I5" s="56"/>
      <c r="J5" s="56"/>
      <c r="K5" s="56"/>
      <c r="L5" s="56"/>
      <c r="M5" s="56"/>
      <c r="N5" s="56"/>
      <c r="O5" s="56"/>
      <c r="P5" s="56"/>
      <c r="Q5" s="56"/>
      <c r="R5" s="56"/>
      <c r="S5" s="56"/>
    </row>
    <row r="6" spans="1:19" x14ac:dyDescent="0.25">
      <c r="A6" s="56"/>
      <c r="B6" s="56"/>
      <c r="C6" s="56"/>
      <c r="D6" s="56"/>
      <c r="E6" s="56"/>
      <c r="F6" s="56"/>
      <c r="G6" s="56"/>
      <c r="H6" s="56"/>
      <c r="I6" s="56"/>
      <c r="J6" s="56"/>
      <c r="K6" s="56"/>
      <c r="L6" s="56"/>
      <c r="M6" s="56"/>
      <c r="N6" s="56"/>
      <c r="O6" s="56"/>
      <c r="P6" s="56"/>
      <c r="Q6" s="56"/>
      <c r="R6" s="56"/>
      <c r="S6" s="56"/>
    </row>
    <row r="7" spans="1:19" s="24" customFormat="1" x14ac:dyDescent="0.25">
      <c r="A7" s="23"/>
      <c r="B7" s="23"/>
      <c r="C7" s="23"/>
      <c r="D7" s="23"/>
      <c r="E7" s="23"/>
      <c r="F7" s="23"/>
      <c r="G7" s="23"/>
      <c r="H7" s="23"/>
      <c r="I7" s="23"/>
      <c r="J7" s="23"/>
      <c r="K7" s="23"/>
      <c r="L7" s="23"/>
      <c r="M7" s="23"/>
      <c r="N7" s="23"/>
      <c r="O7" s="23"/>
      <c r="P7" s="23"/>
      <c r="Q7" s="23"/>
      <c r="R7" s="23"/>
      <c r="S7" s="23"/>
    </row>
    <row r="8" spans="1:19" x14ac:dyDescent="0.25">
      <c r="A8" s="25" t="s">
        <v>60</v>
      </c>
      <c r="B8" s="59" t="s">
        <v>66</v>
      </c>
      <c r="C8" s="59"/>
      <c r="D8" s="59"/>
      <c r="E8" s="59"/>
      <c r="F8" s="59"/>
      <c r="G8" s="59"/>
      <c r="H8" s="59"/>
      <c r="I8" s="59"/>
      <c r="J8" s="59"/>
      <c r="K8" s="59"/>
      <c r="L8" s="59"/>
      <c r="M8" s="59"/>
      <c r="N8" s="59"/>
      <c r="O8" s="59"/>
      <c r="P8" s="59"/>
      <c r="Q8" s="59"/>
      <c r="R8" s="59"/>
      <c r="S8" s="59"/>
    </row>
    <row r="9" spans="1:19" x14ac:dyDescent="0.25">
      <c r="A9" s="26" t="s">
        <v>61</v>
      </c>
      <c r="B9" s="60" t="s">
        <v>79</v>
      </c>
      <c r="C9" s="60"/>
      <c r="D9" s="60"/>
      <c r="E9" s="60"/>
      <c r="F9" s="60"/>
      <c r="G9" s="60"/>
      <c r="H9" s="60"/>
      <c r="I9" s="60"/>
      <c r="J9" s="60"/>
      <c r="K9" s="60"/>
      <c r="L9" s="60"/>
      <c r="M9" s="60"/>
      <c r="N9" s="60"/>
      <c r="O9" s="60"/>
      <c r="P9" s="60"/>
      <c r="Q9" s="60"/>
      <c r="R9" s="60"/>
      <c r="S9" s="60"/>
    </row>
    <row r="10" spans="1:19" x14ac:dyDescent="0.25">
      <c r="A10" s="27" t="s">
        <v>62</v>
      </c>
      <c r="B10" s="61" t="s">
        <v>67</v>
      </c>
      <c r="C10" s="61"/>
      <c r="D10" s="61"/>
      <c r="E10" s="61"/>
      <c r="F10" s="61"/>
      <c r="G10" s="61"/>
      <c r="H10" s="61"/>
      <c r="I10" s="61"/>
      <c r="J10" s="61"/>
      <c r="K10" s="61"/>
      <c r="L10" s="61"/>
      <c r="M10" s="61"/>
      <c r="N10" s="61"/>
      <c r="O10" s="61"/>
      <c r="P10" s="61"/>
      <c r="Q10" s="61"/>
      <c r="R10" s="61"/>
      <c r="S10" s="61"/>
    </row>
    <row r="11" spans="1:19" x14ac:dyDescent="0.25">
      <c r="A11" s="21"/>
      <c r="B11" s="22"/>
      <c r="C11" s="22"/>
      <c r="D11" s="22"/>
      <c r="E11" s="22"/>
      <c r="F11" s="22"/>
      <c r="G11" s="22"/>
      <c r="H11" s="22"/>
      <c r="I11" s="22"/>
      <c r="J11" s="22"/>
      <c r="K11" s="22"/>
      <c r="L11" s="22"/>
      <c r="M11" s="22"/>
      <c r="N11" s="22"/>
      <c r="O11" s="22"/>
      <c r="P11" s="22"/>
      <c r="Q11" s="22"/>
      <c r="R11" s="22"/>
      <c r="S11" s="22"/>
    </row>
    <row r="12" spans="1:19" x14ac:dyDescent="0.25">
      <c r="A12" s="62" t="s">
        <v>71</v>
      </c>
      <c r="B12" s="62"/>
      <c r="C12" s="62"/>
      <c r="D12" s="62"/>
      <c r="E12" s="62"/>
      <c r="F12" s="62"/>
      <c r="G12" s="62"/>
      <c r="H12" s="62"/>
      <c r="I12" s="62"/>
      <c r="J12" s="62"/>
      <c r="K12" s="62"/>
      <c r="L12" s="62"/>
      <c r="M12" s="62"/>
      <c r="N12" s="62"/>
      <c r="O12" s="62"/>
      <c r="P12" s="62"/>
      <c r="Q12" s="62"/>
      <c r="R12" s="62"/>
      <c r="S12" s="62"/>
    </row>
    <row r="13" spans="1:19" x14ac:dyDescent="0.25">
      <c r="A13" s="62"/>
      <c r="B13" s="62"/>
      <c r="C13" s="62"/>
      <c r="D13" s="62"/>
      <c r="E13" s="62"/>
      <c r="F13" s="62"/>
      <c r="G13" s="62"/>
      <c r="H13" s="62"/>
      <c r="I13" s="62"/>
      <c r="J13" s="62"/>
      <c r="K13" s="62"/>
      <c r="L13" s="62"/>
      <c r="M13" s="62"/>
      <c r="N13" s="62"/>
      <c r="O13" s="62"/>
      <c r="P13" s="62"/>
      <c r="Q13" s="62"/>
      <c r="R13" s="62"/>
      <c r="S13" s="62"/>
    </row>
    <row r="14" spans="1:19" x14ac:dyDescent="0.25">
      <c r="A14" s="20"/>
      <c r="B14" s="20"/>
      <c r="C14" s="20"/>
      <c r="D14" s="20"/>
      <c r="E14" s="20"/>
      <c r="F14" s="20"/>
      <c r="G14" s="20"/>
      <c r="H14" s="20"/>
      <c r="I14" s="20"/>
      <c r="J14" s="20"/>
      <c r="K14" s="20"/>
      <c r="L14" s="20"/>
      <c r="M14" s="20"/>
      <c r="N14" s="20"/>
      <c r="O14" s="20"/>
      <c r="P14" s="20"/>
      <c r="Q14" s="20"/>
      <c r="R14" s="20"/>
      <c r="S14" s="20"/>
    </row>
    <row r="15" spans="1:19" x14ac:dyDescent="0.25">
      <c r="A15" s="36" t="s">
        <v>97</v>
      </c>
      <c r="B15" s="36" t="s">
        <v>83</v>
      </c>
      <c r="C15" s="57" t="s">
        <v>96</v>
      </c>
      <c r="D15" s="57"/>
      <c r="E15" s="57"/>
      <c r="F15" s="57"/>
      <c r="G15" s="57"/>
      <c r="H15" s="57"/>
      <c r="I15" s="57"/>
      <c r="J15" s="57"/>
      <c r="K15" s="57"/>
      <c r="L15" s="57"/>
      <c r="M15" s="57"/>
      <c r="N15" s="57"/>
      <c r="O15" s="57"/>
      <c r="P15" s="57"/>
      <c r="Q15" s="57"/>
      <c r="R15" s="57"/>
      <c r="S15" s="57"/>
    </row>
    <row r="16" spans="1:19" x14ac:dyDescent="0.25">
      <c r="A16" s="37"/>
      <c r="B16" s="37"/>
      <c r="C16" s="58"/>
      <c r="D16" s="58"/>
      <c r="E16" s="58"/>
      <c r="F16" s="58"/>
      <c r="G16" s="58"/>
      <c r="H16" s="58"/>
      <c r="I16" s="58"/>
      <c r="J16" s="58"/>
      <c r="K16" s="58"/>
      <c r="L16" s="58"/>
      <c r="M16" s="58"/>
      <c r="N16" s="58"/>
      <c r="O16" s="58"/>
      <c r="P16" s="58"/>
      <c r="Q16" s="58"/>
      <c r="R16" s="58"/>
      <c r="S16" s="58"/>
    </row>
    <row r="17" spans="1:19" x14ac:dyDescent="0.25">
      <c r="A17" s="37"/>
      <c r="B17" s="37"/>
      <c r="C17" s="58"/>
      <c r="D17" s="58"/>
      <c r="E17" s="58"/>
      <c r="F17" s="58"/>
      <c r="G17" s="58"/>
      <c r="H17" s="58"/>
      <c r="I17" s="58"/>
      <c r="J17" s="58"/>
      <c r="K17" s="58"/>
      <c r="L17" s="58"/>
      <c r="M17" s="58"/>
      <c r="N17" s="58"/>
      <c r="O17" s="58"/>
      <c r="P17" s="58"/>
      <c r="Q17" s="58"/>
      <c r="R17" s="58"/>
      <c r="S17" s="58"/>
    </row>
    <row r="18" spans="1:19" x14ac:dyDescent="0.25">
      <c r="A18" s="37"/>
      <c r="B18" s="37"/>
      <c r="C18" s="58"/>
      <c r="D18" s="58"/>
      <c r="E18" s="58"/>
      <c r="F18" s="58"/>
      <c r="G18" s="58"/>
      <c r="H18" s="58"/>
      <c r="I18" s="58"/>
      <c r="J18" s="58"/>
      <c r="K18" s="58"/>
      <c r="L18" s="58"/>
      <c r="M18" s="58"/>
      <c r="N18" s="58"/>
      <c r="O18" s="58"/>
      <c r="P18" s="58"/>
      <c r="Q18" s="58"/>
      <c r="R18" s="58"/>
      <c r="S18" s="58"/>
    </row>
    <row r="19" spans="1:19" x14ac:dyDescent="0.25">
      <c r="A19" s="37"/>
      <c r="B19" s="37"/>
      <c r="C19" s="58"/>
      <c r="D19" s="58"/>
      <c r="E19" s="58"/>
      <c r="F19" s="58"/>
      <c r="G19" s="58"/>
      <c r="H19" s="58"/>
      <c r="I19" s="58"/>
      <c r="J19" s="58"/>
      <c r="K19" s="58"/>
      <c r="L19" s="58"/>
      <c r="M19" s="58"/>
      <c r="N19" s="58"/>
      <c r="O19" s="58"/>
      <c r="P19" s="58"/>
      <c r="Q19" s="58"/>
      <c r="R19" s="58"/>
      <c r="S19" s="58"/>
    </row>
    <row r="20" spans="1:19" x14ac:dyDescent="0.25">
      <c r="A20" s="37"/>
      <c r="B20" s="37"/>
      <c r="C20" s="58"/>
      <c r="D20" s="58"/>
      <c r="E20" s="58"/>
      <c r="F20" s="58"/>
      <c r="G20" s="58"/>
      <c r="H20" s="58"/>
      <c r="I20" s="58"/>
      <c r="J20" s="58"/>
      <c r="K20" s="58"/>
      <c r="L20" s="58"/>
      <c r="M20" s="58"/>
      <c r="N20" s="58"/>
      <c r="O20" s="58"/>
      <c r="P20" s="58"/>
      <c r="Q20" s="58"/>
      <c r="R20" s="58"/>
      <c r="S20" s="58"/>
    </row>
    <row r="21" spans="1:19" x14ac:dyDescent="0.25">
      <c r="A21" s="37"/>
      <c r="B21" s="37"/>
      <c r="C21" s="58"/>
      <c r="D21" s="58"/>
      <c r="E21" s="58"/>
      <c r="F21" s="58"/>
      <c r="G21" s="58"/>
      <c r="H21" s="58"/>
      <c r="I21" s="58"/>
      <c r="J21" s="58"/>
      <c r="K21" s="58"/>
      <c r="L21" s="58"/>
      <c r="M21" s="58"/>
      <c r="N21" s="58"/>
      <c r="O21" s="58"/>
      <c r="P21" s="58"/>
      <c r="Q21" s="58"/>
      <c r="R21" s="58"/>
      <c r="S21" s="58"/>
    </row>
    <row r="22" spans="1:19" x14ac:dyDescent="0.25">
      <c r="A22" s="37"/>
      <c r="B22" s="37"/>
      <c r="C22" s="58"/>
      <c r="D22" s="58"/>
      <c r="E22" s="58"/>
      <c r="F22" s="58"/>
      <c r="G22" s="58"/>
      <c r="H22" s="58"/>
      <c r="I22" s="58"/>
      <c r="J22" s="58"/>
      <c r="K22" s="58"/>
      <c r="L22" s="58"/>
      <c r="M22" s="58"/>
      <c r="N22" s="58"/>
      <c r="O22" s="58"/>
      <c r="P22" s="58"/>
      <c r="Q22" s="58"/>
      <c r="R22" s="58"/>
      <c r="S22" s="58"/>
    </row>
    <row r="23" spans="1:19" x14ac:dyDescent="0.25">
      <c r="A23" s="37"/>
      <c r="B23" s="37"/>
      <c r="C23" s="58"/>
      <c r="D23" s="58"/>
      <c r="E23" s="58"/>
      <c r="F23" s="58"/>
      <c r="G23" s="58"/>
      <c r="H23" s="58"/>
      <c r="I23" s="58"/>
      <c r="J23" s="58"/>
      <c r="K23" s="58"/>
      <c r="L23" s="58"/>
      <c r="M23" s="58"/>
      <c r="N23" s="58"/>
      <c r="O23" s="58"/>
      <c r="P23" s="58"/>
      <c r="Q23" s="58"/>
      <c r="R23" s="58"/>
      <c r="S23" s="58"/>
    </row>
    <row r="24" spans="1:19" x14ac:dyDescent="0.25">
      <c r="A24" s="37"/>
      <c r="B24" s="37"/>
      <c r="C24" s="58"/>
      <c r="D24" s="58"/>
      <c r="E24" s="58"/>
      <c r="F24" s="58"/>
      <c r="G24" s="58"/>
      <c r="H24" s="58"/>
      <c r="I24" s="58"/>
      <c r="J24" s="58"/>
      <c r="K24" s="58"/>
      <c r="L24" s="58"/>
      <c r="M24" s="58"/>
      <c r="N24" s="58"/>
      <c r="O24" s="58"/>
      <c r="P24" s="58"/>
      <c r="Q24" s="58"/>
      <c r="R24" s="58"/>
      <c r="S24" s="58"/>
    </row>
    <row r="25" spans="1:19" x14ac:dyDescent="0.25">
      <c r="A25" s="37"/>
      <c r="B25" s="37"/>
      <c r="C25" s="58"/>
      <c r="D25" s="58"/>
      <c r="E25" s="58"/>
      <c r="F25" s="58"/>
      <c r="G25" s="58"/>
      <c r="H25" s="58"/>
      <c r="I25" s="58"/>
      <c r="J25" s="58"/>
      <c r="K25" s="58"/>
      <c r="L25" s="58"/>
      <c r="M25" s="58"/>
      <c r="N25" s="58"/>
      <c r="O25" s="58"/>
      <c r="P25" s="58"/>
      <c r="Q25" s="58"/>
      <c r="R25" s="58"/>
      <c r="S25" s="58"/>
    </row>
    <row r="26" spans="1:19" x14ac:dyDescent="0.25">
      <c r="A26" s="37"/>
      <c r="B26" s="37"/>
      <c r="C26" s="58"/>
      <c r="D26" s="58"/>
      <c r="E26" s="58"/>
      <c r="F26" s="58"/>
      <c r="G26" s="58"/>
      <c r="H26" s="58"/>
      <c r="I26" s="58"/>
      <c r="J26" s="58"/>
      <c r="K26" s="58"/>
      <c r="L26" s="58"/>
      <c r="M26" s="58"/>
      <c r="N26" s="58"/>
      <c r="O26" s="58"/>
      <c r="P26" s="58"/>
      <c r="Q26" s="58"/>
      <c r="R26" s="58"/>
      <c r="S26" s="58"/>
    </row>
    <row r="27" spans="1:19" x14ac:dyDescent="0.25">
      <c r="A27" s="37"/>
      <c r="B27" s="37"/>
      <c r="C27" s="58"/>
      <c r="D27" s="58"/>
      <c r="E27" s="58"/>
      <c r="F27" s="58"/>
      <c r="G27" s="58"/>
      <c r="H27" s="58"/>
      <c r="I27" s="58"/>
      <c r="J27" s="58"/>
      <c r="K27" s="58"/>
      <c r="L27" s="58"/>
      <c r="M27" s="58"/>
      <c r="N27" s="58"/>
      <c r="O27" s="58"/>
      <c r="P27" s="58"/>
      <c r="Q27" s="58"/>
      <c r="R27" s="58"/>
      <c r="S27" s="58"/>
    </row>
    <row r="28" spans="1:19" x14ac:dyDescent="0.25">
      <c r="A28" s="37"/>
      <c r="B28" s="37"/>
      <c r="C28" s="58"/>
      <c r="D28" s="58"/>
      <c r="E28" s="58"/>
      <c r="F28" s="58"/>
      <c r="G28" s="58"/>
      <c r="H28" s="58"/>
      <c r="I28" s="58"/>
      <c r="J28" s="58"/>
      <c r="K28" s="58"/>
      <c r="L28" s="58"/>
      <c r="M28" s="58"/>
      <c r="N28" s="58"/>
      <c r="O28" s="58"/>
      <c r="P28" s="58"/>
      <c r="Q28" s="58"/>
      <c r="R28" s="58"/>
      <c r="S28" s="58"/>
    </row>
    <row r="30" spans="1:19" x14ac:dyDescent="0.25">
      <c r="A30" s="46" t="s">
        <v>98</v>
      </c>
      <c r="B30" s="46"/>
      <c r="C30" s="46"/>
    </row>
  </sheetData>
  <sheetProtection algorithmName="SHA-512" hashValue="lZAkQNh8eKvuDqWEJcdL+3U/6fwJpBATJabCujZ1XS7/YKZoY6pLE0PbMHgFU5eSX6uznkYtZz5PJXUAeTZ8mw==" saltValue="PAZoP4TXOocoG+d5SeJz2w==" spinCount="100000" sheet="1" objects="1" scenarios="1"/>
  <mergeCells count="23">
    <mergeCell ref="C26:S26"/>
    <mergeCell ref="C27:S27"/>
    <mergeCell ref="C20:S20"/>
    <mergeCell ref="C21:S21"/>
    <mergeCell ref="C22:S22"/>
    <mergeCell ref="C23:S23"/>
    <mergeCell ref="C24:S24"/>
    <mergeCell ref="A30:C30"/>
    <mergeCell ref="A1:A2"/>
    <mergeCell ref="B1:S2"/>
    <mergeCell ref="A3:S4"/>
    <mergeCell ref="A5:S6"/>
    <mergeCell ref="C15:S15"/>
    <mergeCell ref="C16:S16"/>
    <mergeCell ref="B8:S8"/>
    <mergeCell ref="B9:S9"/>
    <mergeCell ref="B10:S10"/>
    <mergeCell ref="A12:S13"/>
    <mergeCell ref="C28:S28"/>
    <mergeCell ref="C17:S17"/>
    <mergeCell ref="C18:S18"/>
    <mergeCell ref="C19:S19"/>
    <mergeCell ref="C25:S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6E6BA-20A1-4F09-92B0-735643125D88}">
  <sheetPr codeName="Sheet2"/>
  <dimension ref="A2:AE135"/>
  <sheetViews>
    <sheetView showGridLines="0" topLeftCell="A115" zoomScale="90" zoomScaleNormal="90" workbookViewId="0">
      <selection activeCell="D133" sqref="D133"/>
    </sheetView>
  </sheetViews>
  <sheetFormatPr defaultRowHeight="15" x14ac:dyDescent="0.25"/>
  <cols>
    <col min="2" max="2" width="10.140625" customWidth="1"/>
    <col min="3" max="3" width="9.140625" customWidth="1"/>
    <col min="4" max="4" width="10.85546875" customWidth="1"/>
    <col min="17" max="18" width="9.42578125" customWidth="1"/>
  </cols>
  <sheetData>
    <row r="2" spans="1:31" x14ac:dyDescent="0.25">
      <c r="A2" s="94" t="s">
        <v>52</v>
      </c>
      <c r="B2" s="94"/>
      <c r="C2" s="94"/>
      <c r="D2" s="94"/>
      <c r="E2" s="94"/>
      <c r="F2" s="94"/>
      <c r="G2" s="94"/>
      <c r="H2" s="94"/>
      <c r="I2" s="94"/>
      <c r="J2" s="94"/>
      <c r="K2" s="94"/>
      <c r="L2" s="94"/>
      <c r="M2" s="94"/>
    </row>
    <row r="3" spans="1:31" x14ac:dyDescent="0.25">
      <c r="A3" s="94"/>
      <c r="B3" s="94"/>
      <c r="C3" s="94"/>
      <c r="D3" s="94"/>
      <c r="E3" s="94"/>
      <c r="F3" s="94"/>
      <c r="G3" s="94"/>
      <c r="H3" s="94"/>
      <c r="I3" s="94"/>
      <c r="J3" s="94"/>
      <c r="K3" s="94"/>
      <c r="L3" s="94"/>
      <c r="M3" s="94"/>
    </row>
    <row r="4" spans="1:31" x14ac:dyDescent="0.25">
      <c r="A4" s="74" t="s">
        <v>88</v>
      </c>
      <c r="B4" s="95"/>
      <c r="C4" s="95"/>
      <c r="D4" s="95"/>
      <c r="E4" s="95"/>
      <c r="F4" s="95"/>
      <c r="G4" s="95"/>
      <c r="H4" s="95"/>
      <c r="I4" s="95"/>
      <c r="J4" s="95"/>
      <c r="K4" s="95"/>
      <c r="L4" s="95"/>
      <c r="M4" s="95"/>
    </row>
    <row r="5" spans="1:31" x14ac:dyDescent="0.25">
      <c r="A5" s="95"/>
      <c r="B5" s="95"/>
      <c r="C5" s="95"/>
      <c r="D5" s="95"/>
      <c r="E5" s="95"/>
      <c r="F5" s="95"/>
      <c r="G5" s="95"/>
      <c r="H5" s="95"/>
      <c r="I5" s="95"/>
      <c r="J5" s="95"/>
      <c r="K5" s="95"/>
      <c r="L5" s="95"/>
      <c r="M5" s="95"/>
    </row>
    <row r="6" spans="1:31" x14ac:dyDescent="0.25">
      <c r="A6" s="95"/>
      <c r="B6" s="95"/>
      <c r="C6" s="95"/>
      <c r="D6" s="95"/>
      <c r="E6" s="95"/>
      <c r="F6" s="95"/>
      <c r="G6" s="95"/>
      <c r="H6" s="95"/>
      <c r="I6" s="95"/>
      <c r="J6" s="95"/>
      <c r="K6" s="95"/>
      <c r="L6" s="95"/>
      <c r="M6" s="95"/>
    </row>
    <row r="7" spans="1:31" x14ac:dyDescent="0.25">
      <c r="A7" s="95"/>
      <c r="B7" s="95"/>
      <c r="C7" s="95"/>
      <c r="D7" s="95"/>
      <c r="E7" s="95"/>
      <c r="F7" s="95"/>
      <c r="G7" s="95"/>
      <c r="H7" s="95"/>
      <c r="I7" s="95"/>
      <c r="J7" s="95"/>
      <c r="K7" s="95"/>
      <c r="L7" s="95"/>
      <c r="M7" s="95"/>
    </row>
    <row r="8" spans="1:31" x14ac:dyDescent="0.25">
      <c r="A8" s="95"/>
      <c r="B8" s="95"/>
      <c r="C8" s="95"/>
      <c r="D8" s="95"/>
      <c r="E8" s="95"/>
      <c r="F8" s="95"/>
      <c r="G8" s="95"/>
      <c r="H8" s="95"/>
      <c r="I8" s="95"/>
      <c r="J8" s="95"/>
      <c r="K8" s="95"/>
      <c r="L8" s="95"/>
      <c r="M8" s="95"/>
    </row>
    <row r="9" spans="1:31" x14ac:dyDescent="0.25">
      <c r="A9" s="95"/>
      <c r="B9" s="95"/>
      <c r="C9" s="95"/>
      <c r="D9" s="95"/>
      <c r="E9" s="95"/>
      <c r="F9" s="95"/>
      <c r="G9" s="95"/>
      <c r="H9" s="95"/>
      <c r="I9" s="95"/>
      <c r="J9" s="95"/>
      <c r="K9" s="95"/>
      <c r="L9" s="95"/>
      <c r="M9" s="95"/>
    </row>
    <row r="10" spans="1:31" x14ac:dyDescent="0.25">
      <c r="A10" s="95"/>
      <c r="B10" s="95"/>
      <c r="C10" s="95"/>
      <c r="D10" s="95"/>
      <c r="E10" s="95"/>
      <c r="F10" s="95"/>
      <c r="G10" s="95"/>
      <c r="H10" s="95"/>
      <c r="I10" s="95"/>
      <c r="J10" s="95"/>
      <c r="K10" s="95"/>
      <c r="L10" s="95"/>
      <c r="M10" s="95"/>
    </row>
    <row r="12" spans="1:31" x14ac:dyDescent="0.25">
      <c r="A12" s="72" t="s">
        <v>80</v>
      </c>
      <c r="B12" s="72"/>
      <c r="C12" s="72"/>
      <c r="D12" s="72"/>
      <c r="E12" s="72"/>
      <c r="F12" s="72"/>
      <c r="G12" s="72"/>
      <c r="H12" s="72"/>
      <c r="I12" s="72"/>
      <c r="J12" s="72"/>
      <c r="K12" s="72"/>
      <c r="L12" s="72"/>
      <c r="M12" s="72"/>
      <c r="N12" s="67" t="s">
        <v>87</v>
      </c>
      <c r="O12" s="67"/>
      <c r="P12" s="67"/>
      <c r="Q12" s="67"/>
      <c r="R12" s="67"/>
      <c r="S12" s="67"/>
      <c r="T12" s="67"/>
      <c r="U12" s="67"/>
      <c r="V12" s="67"/>
      <c r="W12" s="67"/>
      <c r="X12" s="67"/>
    </row>
    <row r="13" spans="1:31" ht="14.85" customHeight="1" x14ac:dyDescent="0.25">
      <c r="A13" s="58"/>
      <c r="B13" s="86"/>
      <c r="C13" s="86"/>
      <c r="D13" s="86"/>
      <c r="E13" s="86"/>
      <c r="F13" s="86"/>
      <c r="G13" s="86"/>
      <c r="H13" s="86"/>
      <c r="I13" s="86"/>
      <c r="J13" s="86"/>
      <c r="K13" s="86"/>
      <c r="L13" s="86"/>
      <c r="M13" s="86"/>
      <c r="N13" s="68" t="s">
        <v>91</v>
      </c>
      <c r="O13" s="68"/>
      <c r="P13" s="68"/>
      <c r="Q13" s="68"/>
      <c r="R13" s="68"/>
      <c r="S13" s="68"/>
      <c r="T13" s="68"/>
      <c r="U13" s="68"/>
      <c r="V13" s="68"/>
      <c r="W13" s="68"/>
      <c r="X13" s="68"/>
    </row>
    <row r="14" spans="1:31" x14ac:dyDescent="0.25">
      <c r="A14" s="86"/>
      <c r="B14" s="86"/>
      <c r="C14" s="86"/>
      <c r="D14" s="86"/>
      <c r="E14" s="86"/>
      <c r="F14" s="86"/>
      <c r="G14" s="86"/>
      <c r="H14" s="86"/>
      <c r="I14" s="86"/>
      <c r="J14" s="86"/>
      <c r="K14" s="86"/>
      <c r="L14" s="86"/>
      <c r="M14" s="86"/>
      <c r="N14" s="68"/>
      <c r="O14" s="68"/>
      <c r="P14" s="68"/>
      <c r="Q14" s="68"/>
      <c r="R14" s="68"/>
      <c r="S14" s="68"/>
      <c r="T14" s="68"/>
      <c r="U14" s="68"/>
      <c r="V14" s="68"/>
      <c r="W14" s="68"/>
      <c r="X14" s="68"/>
    </row>
    <row r="15" spans="1:31" x14ac:dyDescent="0.25">
      <c r="A15" s="86"/>
      <c r="B15" s="86"/>
      <c r="C15" s="86"/>
      <c r="D15" s="86"/>
      <c r="E15" s="86"/>
      <c r="F15" s="86"/>
      <c r="G15" s="86"/>
      <c r="H15" s="86"/>
      <c r="I15" s="86"/>
      <c r="J15" s="86"/>
      <c r="K15" s="86"/>
      <c r="L15" s="86"/>
      <c r="M15" s="86"/>
      <c r="N15" s="68"/>
      <c r="O15" s="68"/>
      <c r="P15" s="68"/>
      <c r="Q15" s="68"/>
      <c r="R15" s="68"/>
      <c r="S15" s="68"/>
      <c r="T15" s="68"/>
      <c r="U15" s="68"/>
      <c r="V15" s="68"/>
      <c r="W15" s="68"/>
      <c r="X15" s="68"/>
    </row>
    <row r="16" spans="1:31" x14ac:dyDescent="0.25">
      <c r="A16" s="86"/>
      <c r="B16" s="86"/>
      <c r="C16" s="86"/>
      <c r="D16" s="86"/>
      <c r="E16" s="86"/>
      <c r="F16" s="86"/>
      <c r="G16" s="86"/>
      <c r="H16" s="86"/>
      <c r="I16" s="86"/>
      <c r="J16" s="86"/>
      <c r="K16" s="86"/>
      <c r="L16" s="86"/>
      <c r="M16" s="86"/>
      <c r="N16" s="68"/>
      <c r="O16" s="68"/>
      <c r="P16" s="68"/>
      <c r="Q16" s="68"/>
      <c r="R16" s="68"/>
      <c r="S16" s="68"/>
      <c r="T16" s="68"/>
      <c r="U16" s="68"/>
      <c r="V16" s="68"/>
      <c r="W16" s="68"/>
      <c r="X16" s="68"/>
      <c r="Y16" s="13"/>
      <c r="Z16" s="13"/>
      <c r="AA16" s="13"/>
      <c r="AB16" s="13"/>
      <c r="AC16" s="13"/>
      <c r="AD16" s="13"/>
      <c r="AE16" s="13"/>
    </row>
    <row r="17" spans="1:31" x14ac:dyDescent="0.25">
      <c r="A17" s="86"/>
      <c r="B17" s="86"/>
      <c r="C17" s="86"/>
      <c r="D17" s="86"/>
      <c r="E17" s="86"/>
      <c r="F17" s="86"/>
      <c r="G17" s="86"/>
      <c r="H17" s="86"/>
      <c r="I17" s="86"/>
      <c r="J17" s="86"/>
      <c r="K17" s="86"/>
      <c r="L17" s="86"/>
      <c r="M17" s="86"/>
      <c r="N17" s="68"/>
      <c r="O17" s="68"/>
      <c r="P17" s="68"/>
      <c r="Q17" s="68"/>
      <c r="R17" s="68"/>
      <c r="S17" s="68"/>
      <c r="T17" s="68"/>
      <c r="U17" s="68"/>
      <c r="V17" s="68"/>
      <c r="W17" s="68"/>
      <c r="X17" s="68"/>
      <c r="Y17" s="13"/>
      <c r="Z17" s="13"/>
      <c r="AA17" s="13"/>
      <c r="AB17" s="13"/>
      <c r="AC17" s="13"/>
      <c r="AD17" s="13"/>
      <c r="AE17" s="13"/>
    </row>
    <row r="18" spans="1:31" x14ac:dyDescent="0.25">
      <c r="A18" s="86"/>
      <c r="B18" s="86"/>
      <c r="C18" s="86"/>
      <c r="D18" s="86"/>
      <c r="E18" s="86"/>
      <c r="F18" s="86"/>
      <c r="G18" s="86"/>
      <c r="H18" s="86"/>
      <c r="I18" s="86"/>
      <c r="J18" s="86"/>
      <c r="K18" s="86"/>
      <c r="L18" s="86"/>
      <c r="M18" s="86"/>
      <c r="N18" s="68"/>
      <c r="O18" s="68"/>
      <c r="P18" s="68"/>
      <c r="Q18" s="68"/>
      <c r="R18" s="68"/>
      <c r="S18" s="68"/>
      <c r="T18" s="68"/>
      <c r="U18" s="68"/>
      <c r="V18" s="68"/>
      <c r="W18" s="68"/>
      <c r="X18" s="68"/>
      <c r="Y18" s="13"/>
      <c r="Z18" s="13"/>
      <c r="AA18" s="13"/>
      <c r="AB18" s="13"/>
      <c r="AC18" s="13"/>
      <c r="AD18" s="13"/>
      <c r="AE18" s="13"/>
    </row>
    <row r="19" spans="1:31" x14ac:dyDescent="0.25">
      <c r="A19" s="86"/>
      <c r="B19" s="86"/>
      <c r="C19" s="86"/>
      <c r="D19" s="86"/>
      <c r="E19" s="86"/>
      <c r="F19" s="86"/>
      <c r="G19" s="86"/>
      <c r="H19" s="86"/>
      <c r="I19" s="86"/>
      <c r="J19" s="86"/>
      <c r="K19" s="86"/>
      <c r="L19" s="86"/>
      <c r="M19" s="86"/>
      <c r="N19" s="68"/>
      <c r="O19" s="68"/>
      <c r="P19" s="68"/>
      <c r="Q19" s="68"/>
      <c r="R19" s="68"/>
      <c r="S19" s="68"/>
      <c r="T19" s="68"/>
      <c r="U19" s="68"/>
      <c r="V19" s="68"/>
      <c r="W19" s="68"/>
      <c r="X19" s="68"/>
      <c r="Y19" s="13"/>
      <c r="Z19" s="13"/>
      <c r="AA19" s="13"/>
      <c r="AB19" s="13"/>
      <c r="AC19" s="13"/>
      <c r="AD19" s="13"/>
      <c r="AE19" s="13"/>
    </row>
    <row r="20" spans="1:31" x14ac:dyDescent="0.25">
      <c r="T20" s="13"/>
      <c r="U20" s="13"/>
      <c r="V20" s="13"/>
      <c r="W20" s="13"/>
      <c r="X20" s="13"/>
      <c r="Y20" s="13"/>
      <c r="Z20" s="13"/>
      <c r="AA20" s="13"/>
      <c r="AB20" s="13"/>
      <c r="AC20" s="13"/>
      <c r="AD20" s="13"/>
      <c r="AE20" s="13"/>
    </row>
    <row r="21" spans="1:31" x14ac:dyDescent="0.25">
      <c r="A21" s="74" t="s">
        <v>78</v>
      </c>
      <c r="B21" s="95"/>
      <c r="C21" s="95"/>
      <c r="D21" s="95"/>
      <c r="E21" s="95"/>
      <c r="F21" s="95"/>
      <c r="G21" s="95"/>
      <c r="H21" s="95"/>
      <c r="I21" s="95"/>
      <c r="J21" s="95"/>
      <c r="K21" s="95"/>
      <c r="L21" s="95"/>
      <c r="M21" s="95"/>
    </row>
    <row r="22" spans="1:31" x14ac:dyDescent="0.25">
      <c r="A22" s="95"/>
      <c r="B22" s="95"/>
      <c r="C22" s="95"/>
      <c r="D22" s="95"/>
      <c r="E22" s="95"/>
      <c r="F22" s="95"/>
      <c r="G22" s="95"/>
      <c r="H22" s="95"/>
      <c r="I22" s="95"/>
      <c r="J22" s="95"/>
      <c r="K22" s="95"/>
      <c r="L22" s="95"/>
      <c r="M22" s="95"/>
    </row>
    <row r="23" spans="1:31" x14ac:dyDescent="0.25">
      <c r="A23" s="95"/>
      <c r="B23" s="95"/>
      <c r="C23" s="95"/>
      <c r="D23" s="95"/>
      <c r="E23" s="95"/>
      <c r="F23" s="95"/>
      <c r="G23" s="95"/>
      <c r="H23" s="95"/>
      <c r="I23" s="95"/>
      <c r="J23" s="95"/>
      <c r="K23" s="95"/>
      <c r="L23" s="95"/>
      <c r="M23" s="95"/>
    </row>
    <row r="24" spans="1:31" x14ac:dyDescent="0.25">
      <c r="A24" s="95"/>
      <c r="B24" s="95"/>
      <c r="C24" s="95"/>
      <c r="D24" s="95"/>
      <c r="E24" s="95"/>
      <c r="F24" s="95"/>
      <c r="G24" s="95"/>
      <c r="H24" s="95"/>
      <c r="I24" s="95"/>
      <c r="J24" s="95"/>
      <c r="K24" s="95"/>
      <c r="L24" s="95"/>
      <c r="M24" s="95"/>
    </row>
    <row r="25" spans="1:31" x14ac:dyDescent="0.25">
      <c r="A25" s="95"/>
      <c r="B25" s="95"/>
      <c r="C25" s="95"/>
      <c r="D25" s="95"/>
      <c r="E25" s="95"/>
      <c r="F25" s="95"/>
      <c r="G25" s="95"/>
      <c r="H25" s="95"/>
      <c r="I25" s="95"/>
      <c r="J25" s="95"/>
      <c r="K25" s="95"/>
      <c r="L25" s="95"/>
      <c r="M25" s="95"/>
    </row>
    <row r="26" spans="1:31" x14ac:dyDescent="0.25">
      <c r="A26" s="95"/>
      <c r="B26" s="95"/>
      <c r="C26" s="95"/>
      <c r="D26" s="95"/>
      <c r="E26" s="95"/>
      <c r="F26" s="95"/>
      <c r="G26" s="95"/>
      <c r="H26" s="95"/>
      <c r="I26" s="95"/>
      <c r="J26" s="95"/>
      <c r="K26" s="95"/>
      <c r="L26" s="95"/>
      <c r="M26" s="95"/>
    </row>
    <row r="27" spans="1:31" x14ac:dyDescent="0.25">
      <c r="A27" s="95"/>
      <c r="B27" s="95"/>
      <c r="C27" s="95"/>
      <c r="D27" s="95"/>
      <c r="E27" s="95"/>
      <c r="F27" s="95"/>
      <c r="G27" s="95"/>
      <c r="H27" s="95"/>
      <c r="I27" s="95"/>
      <c r="J27" s="95"/>
      <c r="K27" s="95"/>
      <c r="L27" s="95"/>
      <c r="M27" s="95"/>
    </row>
    <row r="29" spans="1:31" x14ac:dyDescent="0.25">
      <c r="A29" s="72" t="s">
        <v>81</v>
      </c>
      <c r="B29" s="72"/>
      <c r="C29" s="72"/>
      <c r="D29" s="72"/>
      <c r="E29" s="72"/>
      <c r="F29" s="72"/>
      <c r="G29" s="72"/>
      <c r="H29" s="72"/>
      <c r="I29" s="72"/>
      <c r="J29" s="72"/>
      <c r="K29" s="72"/>
      <c r="L29" s="72"/>
      <c r="M29" s="72"/>
      <c r="N29" s="69" t="s">
        <v>87</v>
      </c>
      <c r="O29" s="69"/>
      <c r="P29" s="69"/>
      <c r="Q29" s="69"/>
      <c r="R29" s="69"/>
      <c r="S29" s="69"/>
      <c r="T29" s="69"/>
      <c r="U29" s="69"/>
      <c r="V29" s="69"/>
      <c r="W29" s="69"/>
      <c r="X29" s="69"/>
    </row>
    <row r="30" spans="1:31" ht="14.85" customHeight="1" x14ac:dyDescent="0.25">
      <c r="A30" s="86"/>
      <c r="B30" s="86"/>
      <c r="C30" s="86"/>
      <c r="D30" s="86"/>
      <c r="E30" s="86"/>
      <c r="F30" s="86"/>
      <c r="G30" s="86"/>
      <c r="H30" s="86"/>
      <c r="I30" s="86"/>
      <c r="J30" s="86"/>
      <c r="K30" s="86"/>
      <c r="L30" s="86"/>
      <c r="M30" s="86"/>
      <c r="N30" s="70" t="s">
        <v>92</v>
      </c>
      <c r="O30" s="70"/>
      <c r="P30" s="70"/>
      <c r="Q30" s="70"/>
      <c r="R30" s="70"/>
      <c r="S30" s="70"/>
      <c r="T30" s="70"/>
      <c r="U30" s="70"/>
      <c r="V30" s="70"/>
      <c r="W30" s="70"/>
      <c r="X30" s="70"/>
    </row>
    <row r="31" spans="1:31" ht="14.85" customHeight="1" x14ac:dyDescent="0.25">
      <c r="A31" s="86"/>
      <c r="B31" s="86"/>
      <c r="C31" s="86"/>
      <c r="D31" s="86"/>
      <c r="E31" s="86"/>
      <c r="F31" s="86"/>
      <c r="G31" s="86"/>
      <c r="H31" s="86"/>
      <c r="I31" s="86"/>
      <c r="J31" s="86"/>
      <c r="K31" s="86"/>
      <c r="L31" s="86"/>
      <c r="M31" s="86"/>
      <c r="N31" s="70"/>
      <c r="O31" s="70"/>
      <c r="P31" s="70"/>
      <c r="Q31" s="70"/>
      <c r="R31" s="70"/>
      <c r="S31" s="70"/>
      <c r="T31" s="70"/>
      <c r="U31" s="70"/>
      <c r="V31" s="70"/>
      <c r="W31" s="70"/>
      <c r="X31" s="70"/>
    </row>
    <row r="32" spans="1:31" x14ac:dyDescent="0.25">
      <c r="A32" s="86"/>
      <c r="B32" s="86"/>
      <c r="C32" s="86"/>
      <c r="D32" s="86"/>
      <c r="E32" s="86"/>
      <c r="F32" s="86"/>
      <c r="G32" s="86"/>
      <c r="H32" s="86"/>
      <c r="I32" s="86"/>
      <c r="J32" s="86"/>
      <c r="K32" s="86"/>
      <c r="L32" s="86"/>
      <c r="M32" s="86"/>
      <c r="N32" s="70"/>
      <c r="O32" s="70"/>
      <c r="P32" s="70"/>
      <c r="Q32" s="70"/>
      <c r="R32" s="70"/>
      <c r="S32" s="70"/>
      <c r="T32" s="70"/>
      <c r="U32" s="70"/>
      <c r="V32" s="70"/>
      <c r="W32" s="70"/>
      <c r="X32" s="70"/>
    </row>
    <row r="33" spans="1:31" x14ac:dyDescent="0.25">
      <c r="A33" s="86"/>
      <c r="B33" s="86"/>
      <c r="C33" s="86"/>
      <c r="D33" s="86"/>
      <c r="E33" s="86"/>
      <c r="F33" s="86"/>
      <c r="G33" s="86"/>
      <c r="H33" s="86"/>
      <c r="I33" s="86"/>
      <c r="J33" s="86"/>
      <c r="K33" s="86"/>
      <c r="L33" s="86"/>
      <c r="M33" s="86"/>
      <c r="N33" s="70"/>
      <c r="O33" s="70"/>
      <c r="P33" s="70"/>
      <c r="Q33" s="70"/>
      <c r="R33" s="70"/>
      <c r="S33" s="70"/>
      <c r="T33" s="70"/>
      <c r="U33" s="70"/>
      <c r="V33" s="70"/>
      <c r="W33" s="70"/>
      <c r="X33" s="70"/>
      <c r="Y33" s="13"/>
      <c r="Z33" s="13"/>
      <c r="AA33" s="13"/>
      <c r="AB33" s="13"/>
      <c r="AC33" s="13"/>
      <c r="AD33" s="13"/>
      <c r="AE33" s="13"/>
    </row>
    <row r="34" spans="1:31" x14ac:dyDescent="0.25">
      <c r="A34" s="86"/>
      <c r="B34" s="86"/>
      <c r="C34" s="86"/>
      <c r="D34" s="86"/>
      <c r="E34" s="86"/>
      <c r="F34" s="86"/>
      <c r="G34" s="86"/>
      <c r="H34" s="86"/>
      <c r="I34" s="86"/>
      <c r="J34" s="86"/>
      <c r="K34" s="86"/>
      <c r="L34" s="86"/>
      <c r="M34" s="86"/>
      <c r="N34" s="70"/>
      <c r="O34" s="70"/>
      <c r="P34" s="70"/>
      <c r="Q34" s="70"/>
      <c r="R34" s="70"/>
      <c r="S34" s="70"/>
      <c r="T34" s="70"/>
      <c r="U34" s="70"/>
      <c r="V34" s="70"/>
      <c r="W34" s="70"/>
      <c r="X34" s="70"/>
      <c r="Y34" s="13"/>
      <c r="Z34" s="13"/>
      <c r="AA34" s="13"/>
      <c r="AB34" s="13"/>
      <c r="AC34" s="13"/>
      <c r="AD34" s="13"/>
      <c r="AE34" s="13"/>
    </row>
    <row r="35" spans="1:31" x14ac:dyDescent="0.25">
      <c r="A35" s="86"/>
      <c r="B35" s="86"/>
      <c r="C35" s="86"/>
      <c r="D35" s="86"/>
      <c r="E35" s="86"/>
      <c r="F35" s="86"/>
      <c r="G35" s="86"/>
      <c r="H35" s="86"/>
      <c r="I35" s="86"/>
      <c r="J35" s="86"/>
      <c r="K35" s="86"/>
      <c r="L35" s="86"/>
      <c r="M35" s="86"/>
      <c r="N35" s="70"/>
      <c r="O35" s="70"/>
      <c r="P35" s="70"/>
      <c r="Q35" s="70"/>
      <c r="R35" s="70"/>
      <c r="S35" s="70"/>
      <c r="T35" s="70"/>
      <c r="U35" s="70"/>
      <c r="V35" s="70"/>
      <c r="W35" s="70"/>
      <c r="X35" s="70"/>
      <c r="Y35" s="13"/>
      <c r="Z35" s="13"/>
      <c r="AA35" s="13"/>
      <c r="AB35" s="13"/>
      <c r="AC35" s="13"/>
      <c r="AD35" s="13"/>
      <c r="AE35" s="13"/>
    </row>
    <row r="36" spans="1:31" x14ac:dyDescent="0.25">
      <c r="A36" s="86"/>
      <c r="B36" s="86"/>
      <c r="C36" s="86"/>
      <c r="D36" s="86"/>
      <c r="E36" s="86"/>
      <c r="F36" s="86"/>
      <c r="G36" s="86"/>
      <c r="H36" s="86"/>
      <c r="I36" s="86"/>
      <c r="J36" s="86"/>
      <c r="K36" s="86"/>
      <c r="L36" s="86"/>
      <c r="M36" s="86"/>
      <c r="N36" s="70"/>
      <c r="O36" s="70"/>
      <c r="P36" s="70"/>
      <c r="Q36" s="70"/>
      <c r="R36" s="70"/>
      <c r="S36" s="70"/>
      <c r="T36" s="70"/>
      <c r="U36" s="70"/>
      <c r="V36" s="70"/>
      <c r="W36" s="70"/>
      <c r="X36" s="70"/>
      <c r="Y36" s="13"/>
      <c r="Z36" s="13"/>
      <c r="AA36" s="13"/>
      <c r="AB36" s="13"/>
      <c r="AC36" s="13"/>
      <c r="AD36" s="13"/>
      <c r="AE36" s="13"/>
    </row>
    <row r="37" spans="1:31" ht="14.45" customHeight="1" x14ac:dyDescent="0.25">
      <c r="A37" s="72" t="s">
        <v>36</v>
      </c>
      <c r="B37" s="72"/>
      <c r="C37" s="72"/>
      <c r="D37" s="72"/>
      <c r="E37" s="38"/>
      <c r="F37" s="72" t="s">
        <v>37</v>
      </c>
      <c r="G37" s="72"/>
      <c r="H37" s="72"/>
      <c r="I37" s="72"/>
      <c r="J37" s="18"/>
      <c r="K37" s="18"/>
      <c r="L37" s="18"/>
      <c r="M37" s="18"/>
      <c r="N37" s="66" t="s">
        <v>36</v>
      </c>
      <c r="O37" s="66"/>
      <c r="P37" s="66"/>
      <c r="Q37" s="66"/>
      <c r="R37" s="66"/>
      <c r="S37" s="31">
        <v>0.1</v>
      </c>
      <c r="T37" s="66" t="s">
        <v>37</v>
      </c>
      <c r="U37" s="66"/>
      <c r="V37" s="66"/>
      <c r="W37" s="66"/>
      <c r="X37" s="13"/>
      <c r="Y37" s="13"/>
      <c r="Z37" s="13"/>
      <c r="AA37" s="13"/>
      <c r="AB37" s="13"/>
      <c r="AC37" s="13"/>
      <c r="AD37" s="13"/>
    </row>
    <row r="38" spans="1:31" ht="14.45" customHeight="1" x14ac:dyDescent="0.25">
      <c r="A38" s="72" t="s">
        <v>36</v>
      </c>
      <c r="B38" s="72"/>
      <c r="C38" s="72"/>
      <c r="D38" s="72"/>
      <c r="E38" s="38"/>
      <c r="F38" s="72" t="s">
        <v>38</v>
      </c>
      <c r="G38" s="72"/>
      <c r="H38" s="72"/>
      <c r="I38" s="72"/>
      <c r="J38" s="18"/>
      <c r="K38" s="18"/>
      <c r="L38" s="18"/>
      <c r="M38" s="18"/>
      <c r="N38" s="66" t="s">
        <v>36</v>
      </c>
      <c r="O38" s="66"/>
      <c r="P38" s="66"/>
      <c r="Q38" s="66"/>
      <c r="R38" s="66"/>
      <c r="S38" s="31">
        <v>0.1</v>
      </c>
      <c r="T38" s="66" t="s">
        <v>38</v>
      </c>
      <c r="U38" s="66"/>
      <c r="V38" s="66"/>
      <c r="W38" s="66"/>
      <c r="X38" s="13"/>
      <c r="Y38" s="13"/>
      <c r="Z38" s="13"/>
      <c r="AA38" s="13"/>
      <c r="AB38" s="13"/>
      <c r="AC38" s="13"/>
      <c r="AD38" s="13"/>
      <c r="AE38" s="13"/>
    </row>
    <row r="39" spans="1:31" ht="14.45" customHeight="1" x14ac:dyDescent="0.25">
      <c r="A39" s="72" t="s">
        <v>36</v>
      </c>
      <c r="B39" s="72"/>
      <c r="C39" s="72"/>
      <c r="D39" s="72"/>
      <c r="E39" s="38"/>
      <c r="F39" s="72" t="s">
        <v>39</v>
      </c>
      <c r="G39" s="72"/>
      <c r="H39" s="72"/>
      <c r="I39" s="72"/>
      <c r="J39" s="18"/>
      <c r="K39" s="18"/>
      <c r="L39" s="18"/>
      <c r="M39" s="18"/>
      <c r="N39" s="33" t="s">
        <v>36</v>
      </c>
      <c r="O39" s="33"/>
      <c r="P39" s="33"/>
      <c r="Q39" s="33"/>
      <c r="R39" s="33"/>
      <c r="S39" s="31">
        <v>0.2</v>
      </c>
      <c r="T39" s="66" t="s">
        <v>39</v>
      </c>
      <c r="U39" s="66"/>
      <c r="V39" s="66"/>
      <c r="W39" s="66"/>
      <c r="X39" s="13"/>
      <c r="Y39" s="13"/>
      <c r="Z39" s="13"/>
      <c r="AA39" s="13"/>
      <c r="AB39" s="13"/>
      <c r="AC39" s="13"/>
      <c r="AD39" s="13"/>
      <c r="AE39" s="13"/>
    </row>
    <row r="40" spans="1:31" x14ac:dyDescent="0.25">
      <c r="A40" s="18"/>
      <c r="B40" s="18"/>
      <c r="C40" s="18"/>
      <c r="D40" s="18"/>
      <c r="E40" s="18"/>
      <c r="F40" s="18"/>
      <c r="G40" s="18"/>
      <c r="H40" s="18"/>
      <c r="I40" s="18"/>
      <c r="J40" s="18"/>
      <c r="K40" s="18"/>
      <c r="L40" s="18"/>
      <c r="M40" s="18"/>
      <c r="T40" s="13"/>
      <c r="U40" s="13"/>
      <c r="V40" s="13"/>
      <c r="W40" s="13"/>
      <c r="X40" s="13"/>
      <c r="Y40" s="13"/>
      <c r="Z40" s="13"/>
      <c r="AA40" s="13"/>
      <c r="AB40" s="13"/>
      <c r="AC40" s="13"/>
      <c r="AD40" s="13"/>
      <c r="AE40" s="13"/>
    </row>
    <row r="41" spans="1:31" ht="14.45" customHeight="1" x14ac:dyDescent="0.25">
      <c r="A41" s="96" t="s">
        <v>82</v>
      </c>
      <c r="B41" s="97"/>
      <c r="C41" s="97"/>
      <c r="D41" s="97"/>
      <c r="E41" s="97"/>
      <c r="F41" s="97"/>
      <c r="G41" s="97"/>
      <c r="H41" s="97"/>
      <c r="I41" s="97"/>
      <c r="J41" s="97"/>
      <c r="K41" s="97"/>
      <c r="L41" s="97"/>
      <c r="M41" s="98"/>
      <c r="T41" s="13"/>
      <c r="U41" s="13"/>
      <c r="V41" s="13"/>
      <c r="W41" s="13"/>
      <c r="X41" s="13"/>
      <c r="Y41" s="13"/>
      <c r="Z41" s="13"/>
      <c r="AA41" s="13"/>
      <c r="AB41" s="13"/>
      <c r="AC41" s="13"/>
      <c r="AD41" s="13"/>
      <c r="AE41" s="13"/>
    </row>
    <row r="42" spans="1:31" x14ac:dyDescent="0.25">
      <c r="A42" s="99"/>
      <c r="B42" s="100"/>
      <c r="C42" s="100"/>
      <c r="D42" s="100"/>
      <c r="E42" s="100"/>
      <c r="F42" s="100"/>
      <c r="G42" s="100"/>
      <c r="H42" s="100"/>
      <c r="I42" s="100"/>
      <c r="J42" s="100"/>
      <c r="K42" s="100"/>
      <c r="L42" s="100"/>
      <c r="M42" s="101"/>
      <c r="T42" s="13"/>
      <c r="U42" s="13"/>
      <c r="V42" s="13"/>
      <c r="W42" s="13"/>
      <c r="X42" s="13"/>
      <c r="Y42" s="13"/>
      <c r="Z42" s="13"/>
      <c r="AA42" s="13"/>
      <c r="AB42" s="13"/>
      <c r="AC42" s="13"/>
      <c r="AD42" s="13"/>
      <c r="AE42" s="13"/>
    </row>
    <row r="43" spans="1:31" x14ac:dyDescent="0.25">
      <c r="A43" s="99"/>
      <c r="B43" s="100"/>
      <c r="C43" s="100"/>
      <c r="D43" s="100"/>
      <c r="E43" s="100"/>
      <c r="F43" s="100"/>
      <c r="G43" s="100"/>
      <c r="H43" s="100"/>
      <c r="I43" s="100"/>
      <c r="J43" s="100"/>
      <c r="K43" s="100"/>
      <c r="L43" s="100"/>
      <c r="M43" s="101"/>
      <c r="T43" s="13"/>
      <c r="U43" s="13"/>
      <c r="V43" s="13"/>
      <c r="W43" s="13"/>
      <c r="X43" s="13"/>
      <c r="Y43" s="13"/>
      <c r="Z43" s="13"/>
      <c r="AA43" s="13"/>
      <c r="AB43" s="13"/>
      <c r="AC43" s="13"/>
      <c r="AD43" s="13"/>
      <c r="AE43" s="13"/>
    </row>
    <row r="44" spans="1:31" x14ac:dyDescent="0.25">
      <c r="A44" s="99"/>
      <c r="B44" s="100"/>
      <c r="C44" s="100"/>
      <c r="D44" s="100"/>
      <c r="E44" s="100"/>
      <c r="F44" s="100"/>
      <c r="G44" s="100"/>
      <c r="H44" s="100"/>
      <c r="I44" s="100"/>
      <c r="J44" s="100"/>
      <c r="K44" s="100"/>
      <c r="L44" s="100"/>
      <c r="M44" s="101"/>
      <c r="N44" s="12"/>
      <c r="O44" s="12"/>
      <c r="P44" s="12"/>
      <c r="Q44" s="12"/>
      <c r="R44" s="12"/>
      <c r="W44" s="13"/>
      <c r="X44" s="13"/>
      <c r="Y44" s="13"/>
      <c r="Z44" s="13"/>
      <c r="AA44" s="13"/>
      <c r="AB44" s="13"/>
      <c r="AC44" s="13"/>
      <c r="AD44" s="13"/>
      <c r="AE44" s="13"/>
    </row>
    <row r="45" spans="1:31" ht="14.85" customHeight="1" x14ac:dyDescent="0.25">
      <c r="A45" s="102"/>
      <c r="B45" s="103"/>
      <c r="C45" s="103"/>
      <c r="D45" s="103"/>
      <c r="E45" s="103"/>
      <c r="F45" s="103"/>
      <c r="G45" s="103"/>
      <c r="H45" s="103"/>
      <c r="I45" s="103"/>
      <c r="J45" s="103"/>
      <c r="K45" s="103"/>
      <c r="L45" s="103"/>
      <c r="M45" s="104"/>
      <c r="N45" s="12"/>
      <c r="O45" s="12"/>
      <c r="P45" s="12"/>
      <c r="Q45" s="12"/>
      <c r="R45" s="12"/>
      <c r="W45" s="13"/>
      <c r="X45" s="13"/>
      <c r="Y45" s="13"/>
      <c r="Z45" s="13"/>
      <c r="AA45" s="13"/>
      <c r="AB45" s="13"/>
      <c r="AC45" s="13"/>
      <c r="AD45" s="13"/>
      <c r="AE45" s="13"/>
    </row>
    <row r="46" spans="1:31" x14ac:dyDescent="0.25">
      <c r="A46" s="12"/>
      <c r="B46" s="12"/>
      <c r="C46" s="12"/>
      <c r="D46" s="12"/>
      <c r="E46" s="12"/>
      <c r="F46" s="12"/>
      <c r="G46" s="12"/>
      <c r="H46" s="12"/>
      <c r="I46" s="12"/>
      <c r="J46" s="12"/>
      <c r="K46" s="12"/>
      <c r="L46" s="12"/>
      <c r="M46" s="12"/>
      <c r="N46" s="12"/>
      <c r="O46" s="12"/>
      <c r="P46" s="12"/>
      <c r="Q46" s="12"/>
      <c r="R46" s="12"/>
      <c r="W46" s="13"/>
      <c r="X46" s="13"/>
      <c r="Y46" s="13"/>
      <c r="Z46" s="13"/>
      <c r="AA46" s="13"/>
      <c r="AB46" s="13"/>
      <c r="AC46" s="13"/>
      <c r="AD46" s="13"/>
      <c r="AE46" s="13"/>
    </row>
    <row r="47" spans="1:31" x14ac:dyDescent="0.25">
      <c r="A47" s="73" t="s">
        <v>11</v>
      </c>
      <c r="B47" s="73"/>
      <c r="C47" s="73"/>
      <c r="D47" s="73"/>
      <c r="E47" s="73"/>
      <c r="F47" s="73"/>
      <c r="G47" s="73"/>
      <c r="H47" s="73"/>
      <c r="I47" s="73"/>
      <c r="J47" s="73"/>
      <c r="K47" s="73"/>
      <c r="L47" s="73"/>
      <c r="M47" s="73"/>
      <c r="N47" s="69" t="s">
        <v>87</v>
      </c>
      <c r="O47" s="69"/>
      <c r="P47" s="69"/>
      <c r="Q47" s="69"/>
      <c r="R47" s="69"/>
      <c r="S47" s="69"/>
      <c r="T47" s="69"/>
      <c r="U47" s="69"/>
      <c r="V47" s="69"/>
      <c r="W47" s="69"/>
      <c r="X47" s="69"/>
      <c r="Y47" s="13"/>
      <c r="Z47" s="13"/>
      <c r="AA47" s="13"/>
      <c r="AB47" s="13"/>
      <c r="AC47" s="13"/>
      <c r="AD47" s="13"/>
      <c r="AE47" s="13"/>
    </row>
    <row r="48" spans="1:31" x14ac:dyDescent="0.25">
      <c r="A48" s="75"/>
      <c r="B48" s="76"/>
      <c r="C48" s="76"/>
      <c r="D48" s="76"/>
      <c r="E48" s="76"/>
      <c r="F48" s="76"/>
      <c r="G48" s="76"/>
      <c r="H48" s="76"/>
      <c r="I48" s="76"/>
      <c r="J48" s="76"/>
      <c r="K48" s="76"/>
      <c r="L48" s="76"/>
      <c r="M48" s="77"/>
      <c r="N48" s="70" t="s">
        <v>89</v>
      </c>
      <c r="O48" s="70"/>
      <c r="P48" s="70"/>
      <c r="Q48" s="70"/>
      <c r="R48" s="70"/>
      <c r="S48" s="70"/>
      <c r="T48" s="70"/>
      <c r="U48" s="70"/>
      <c r="V48" s="70"/>
      <c r="W48" s="70"/>
      <c r="X48" s="70"/>
      <c r="Y48" s="13"/>
      <c r="Z48" s="13"/>
      <c r="AA48" s="13"/>
      <c r="AB48" s="13"/>
      <c r="AC48" s="13"/>
      <c r="AD48" s="13"/>
      <c r="AE48" s="13"/>
    </row>
    <row r="49" spans="1:31" ht="14.85" customHeight="1" x14ac:dyDescent="0.25">
      <c r="A49" s="78"/>
      <c r="B49" s="79"/>
      <c r="C49" s="79"/>
      <c r="D49" s="79"/>
      <c r="E49" s="79"/>
      <c r="F49" s="79"/>
      <c r="G49" s="79"/>
      <c r="H49" s="79"/>
      <c r="I49" s="79"/>
      <c r="J49" s="79"/>
      <c r="K49" s="79"/>
      <c r="L49" s="79"/>
      <c r="M49" s="80"/>
      <c r="N49" s="70"/>
      <c r="O49" s="70"/>
      <c r="P49" s="70"/>
      <c r="Q49" s="70"/>
      <c r="R49" s="70"/>
      <c r="S49" s="70"/>
      <c r="T49" s="70"/>
      <c r="U49" s="70"/>
      <c r="V49" s="70"/>
      <c r="W49" s="70"/>
      <c r="X49" s="70"/>
      <c r="Y49" s="13"/>
      <c r="Z49" s="13"/>
      <c r="AA49" s="13"/>
      <c r="AB49" s="13"/>
      <c r="AC49" s="13"/>
      <c r="AD49" s="13"/>
      <c r="AE49" s="13"/>
    </row>
    <row r="50" spans="1:31" x14ac:dyDescent="0.25">
      <c r="A50" s="78"/>
      <c r="B50" s="79"/>
      <c r="C50" s="79"/>
      <c r="D50" s="79"/>
      <c r="E50" s="79"/>
      <c r="F50" s="79"/>
      <c r="G50" s="79"/>
      <c r="H50" s="79"/>
      <c r="I50" s="79"/>
      <c r="J50" s="79"/>
      <c r="K50" s="79"/>
      <c r="L50" s="79"/>
      <c r="M50" s="80"/>
      <c r="N50" s="70"/>
      <c r="O50" s="70"/>
      <c r="P50" s="70"/>
      <c r="Q50" s="70"/>
      <c r="R50" s="70"/>
      <c r="S50" s="70"/>
      <c r="T50" s="70"/>
      <c r="U50" s="70"/>
      <c r="V50" s="70"/>
      <c r="W50" s="70"/>
      <c r="X50" s="70"/>
      <c r="Y50" s="13"/>
      <c r="Z50" s="13"/>
      <c r="AA50" s="13"/>
      <c r="AB50" s="13"/>
      <c r="AC50" s="13"/>
      <c r="AD50" s="13"/>
      <c r="AE50" s="13"/>
    </row>
    <row r="51" spans="1:31" x14ac:dyDescent="0.25">
      <c r="A51" s="78"/>
      <c r="B51" s="79"/>
      <c r="C51" s="79"/>
      <c r="D51" s="79"/>
      <c r="E51" s="79"/>
      <c r="F51" s="79"/>
      <c r="G51" s="79"/>
      <c r="H51" s="79"/>
      <c r="I51" s="79"/>
      <c r="J51" s="79"/>
      <c r="K51" s="79"/>
      <c r="L51" s="79"/>
      <c r="M51" s="80"/>
      <c r="N51" s="70"/>
      <c r="O51" s="70"/>
      <c r="P51" s="70"/>
      <c r="Q51" s="70"/>
      <c r="R51" s="70"/>
      <c r="S51" s="70"/>
      <c r="T51" s="70"/>
      <c r="U51" s="70"/>
      <c r="V51" s="70"/>
      <c r="W51" s="70"/>
      <c r="X51" s="70"/>
      <c r="Y51" s="13"/>
      <c r="Z51" s="13"/>
      <c r="AA51" s="13"/>
      <c r="AB51" s="13"/>
      <c r="AC51" s="13"/>
      <c r="AD51" s="13"/>
      <c r="AE51" s="13"/>
    </row>
    <row r="52" spans="1:31" x14ac:dyDescent="0.25">
      <c r="A52" s="78"/>
      <c r="B52" s="79"/>
      <c r="C52" s="79"/>
      <c r="D52" s="79"/>
      <c r="E52" s="79"/>
      <c r="F52" s="79"/>
      <c r="G52" s="79"/>
      <c r="H52" s="79"/>
      <c r="I52" s="79"/>
      <c r="J52" s="79"/>
      <c r="K52" s="79"/>
      <c r="L52" s="79"/>
      <c r="M52" s="80"/>
      <c r="N52" s="70"/>
      <c r="O52" s="70"/>
      <c r="P52" s="70"/>
      <c r="Q52" s="70"/>
      <c r="R52" s="70"/>
      <c r="S52" s="70"/>
      <c r="T52" s="70"/>
      <c r="U52" s="70"/>
      <c r="V52" s="70"/>
      <c r="W52" s="70"/>
      <c r="X52" s="70"/>
      <c r="Y52" s="13"/>
      <c r="Z52" s="13"/>
      <c r="AA52" s="13"/>
      <c r="AB52" s="13"/>
      <c r="AC52" s="13"/>
      <c r="AD52" s="13"/>
      <c r="AE52" s="13"/>
    </row>
    <row r="53" spans="1:31" x14ac:dyDescent="0.25">
      <c r="A53" s="78"/>
      <c r="B53" s="79"/>
      <c r="C53" s="79"/>
      <c r="D53" s="79"/>
      <c r="E53" s="79"/>
      <c r="F53" s="79"/>
      <c r="G53" s="79"/>
      <c r="H53" s="79"/>
      <c r="I53" s="79"/>
      <c r="J53" s="79"/>
      <c r="K53" s="79"/>
      <c r="L53" s="79"/>
      <c r="M53" s="80"/>
      <c r="N53" s="70"/>
      <c r="O53" s="70"/>
      <c r="P53" s="70"/>
      <c r="Q53" s="70"/>
      <c r="R53" s="70"/>
      <c r="S53" s="70"/>
      <c r="T53" s="70"/>
      <c r="U53" s="70"/>
      <c r="V53" s="70"/>
      <c r="W53" s="70"/>
      <c r="X53" s="70"/>
      <c r="Y53" s="13"/>
      <c r="Z53" s="13"/>
      <c r="AA53" s="13"/>
      <c r="AB53" s="13"/>
      <c r="AC53" s="13"/>
      <c r="AD53" s="13"/>
      <c r="AE53" s="13"/>
    </row>
    <row r="54" spans="1:31" x14ac:dyDescent="0.25">
      <c r="A54" s="81"/>
      <c r="B54" s="82"/>
      <c r="C54" s="82"/>
      <c r="D54" s="82"/>
      <c r="E54" s="82"/>
      <c r="F54" s="82"/>
      <c r="G54" s="82"/>
      <c r="H54" s="82"/>
      <c r="I54" s="82"/>
      <c r="J54" s="82"/>
      <c r="K54" s="82"/>
      <c r="L54" s="82"/>
      <c r="M54" s="83"/>
      <c r="N54" s="70"/>
      <c r="O54" s="70"/>
      <c r="P54" s="70"/>
      <c r="Q54" s="70"/>
      <c r="R54" s="70"/>
      <c r="S54" s="70"/>
      <c r="T54" s="70"/>
      <c r="U54" s="70"/>
      <c r="V54" s="70"/>
      <c r="W54" s="70"/>
      <c r="X54" s="70"/>
    </row>
    <row r="55" spans="1:31" ht="14.45" customHeight="1" x14ac:dyDescent="0.25">
      <c r="A55" s="84" t="s">
        <v>12</v>
      </c>
      <c r="B55" s="85"/>
      <c r="C55" s="39"/>
      <c r="D55" s="14" t="s">
        <v>13</v>
      </c>
      <c r="E55" s="12"/>
      <c r="F55" s="12"/>
      <c r="G55" s="12"/>
      <c r="H55" s="12"/>
      <c r="I55" s="12"/>
      <c r="J55" s="12"/>
      <c r="K55" s="12"/>
      <c r="L55" s="12"/>
      <c r="M55" s="12"/>
      <c r="N55" s="71" t="s">
        <v>12</v>
      </c>
      <c r="O55" s="71"/>
      <c r="P55" s="32">
        <v>15</v>
      </c>
      <c r="Q55" s="34" t="s">
        <v>13</v>
      </c>
    </row>
    <row r="56" spans="1:31" x14ac:dyDescent="0.25">
      <c r="A56" s="12"/>
      <c r="B56" s="12"/>
      <c r="C56" s="12"/>
      <c r="D56" s="12"/>
      <c r="E56" s="12"/>
      <c r="F56" s="12"/>
      <c r="G56" s="12"/>
      <c r="H56" s="12"/>
      <c r="I56" s="12"/>
      <c r="J56" s="12"/>
      <c r="K56" s="12"/>
      <c r="L56" s="12"/>
      <c r="M56" s="12"/>
    </row>
    <row r="57" spans="1:31" ht="14.45" customHeight="1" x14ac:dyDescent="0.25">
      <c r="A57" s="74" t="s">
        <v>48</v>
      </c>
      <c r="B57" s="74"/>
      <c r="C57" s="74"/>
      <c r="D57" s="74"/>
      <c r="E57" s="74"/>
      <c r="F57" s="74"/>
      <c r="G57" s="74"/>
      <c r="H57" s="74"/>
      <c r="I57" s="74"/>
      <c r="J57" s="74"/>
      <c r="K57" s="74"/>
      <c r="L57" s="74"/>
      <c r="M57" s="74"/>
    </row>
    <row r="58" spans="1:31" x14ac:dyDescent="0.25">
      <c r="A58" s="74"/>
      <c r="B58" s="74"/>
      <c r="C58" s="74"/>
      <c r="D58" s="74"/>
      <c r="E58" s="74"/>
      <c r="F58" s="74"/>
      <c r="G58" s="74"/>
      <c r="H58" s="74"/>
      <c r="I58" s="74"/>
      <c r="J58" s="74"/>
      <c r="K58" s="74"/>
      <c r="L58" s="74"/>
      <c r="M58" s="74"/>
    </row>
    <row r="59" spans="1:31" x14ac:dyDescent="0.25">
      <c r="A59" s="74"/>
      <c r="B59" s="74"/>
      <c r="C59" s="74"/>
      <c r="D59" s="74"/>
      <c r="E59" s="74"/>
      <c r="F59" s="74"/>
      <c r="G59" s="74"/>
      <c r="H59" s="74"/>
      <c r="I59" s="74"/>
      <c r="J59" s="74"/>
      <c r="K59" s="74"/>
      <c r="L59" s="74"/>
      <c r="M59" s="74"/>
    </row>
    <row r="60" spans="1:31" x14ac:dyDescent="0.25">
      <c r="A60" s="74"/>
      <c r="B60" s="74"/>
      <c r="C60" s="74"/>
      <c r="D60" s="74"/>
      <c r="E60" s="74"/>
      <c r="F60" s="74"/>
      <c r="G60" s="74"/>
      <c r="H60" s="74"/>
      <c r="I60" s="74"/>
      <c r="J60" s="74"/>
      <c r="K60" s="74"/>
      <c r="L60" s="74"/>
      <c r="M60" s="74"/>
    </row>
    <row r="61" spans="1:31" x14ac:dyDescent="0.25">
      <c r="A61" s="74"/>
      <c r="B61" s="74"/>
      <c r="C61" s="74"/>
      <c r="D61" s="74"/>
      <c r="E61" s="74"/>
      <c r="F61" s="74"/>
      <c r="G61" s="74"/>
      <c r="H61" s="74"/>
      <c r="I61" s="74"/>
      <c r="J61" s="74"/>
      <c r="K61" s="74"/>
      <c r="L61" s="74"/>
      <c r="M61" s="74"/>
    </row>
    <row r="62" spans="1:31" x14ac:dyDescent="0.25">
      <c r="A62" s="74"/>
      <c r="B62" s="74"/>
      <c r="C62" s="74"/>
      <c r="D62" s="74"/>
      <c r="E62" s="74"/>
      <c r="F62" s="74"/>
      <c r="G62" s="74"/>
      <c r="H62" s="74"/>
      <c r="I62" s="74"/>
      <c r="J62" s="74"/>
      <c r="K62" s="74"/>
      <c r="L62" s="74"/>
      <c r="M62" s="74"/>
    </row>
    <row r="63" spans="1:31" x14ac:dyDescent="0.25">
      <c r="A63" s="74"/>
      <c r="B63" s="74"/>
      <c r="C63" s="74"/>
      <c r="D63" s="74"/>
      <c r="E63" s="74"/>
      <c r="F63" s="74"/>
      <c r="G63" s="74"/>
      <c r="H63" s="74"/>
      <c r="I63" s="74"/>
      <c r="J63" s="74"/>
      <c r="K63" s="74"/>
      <c r="L63" s="74"/>
      <c r="M63" s="74"/>
    </row>
    <row r="64" spans="1:31" x14ac:dyDescent="0.25">
      <c r="A64" s="74"/>
      <c r="B64" s="74"/>
      <c r="C64" s="74"/>
      <c r="D64" s="74"/>
      <c r="E64" s="74"/>
      <c r="F64" s="74"/>
      <c r="G64" s="74"/>
      <c r="H64" s="74"/>
      <c r="I64" s="74"/>
      <c r="J64" s="74"/>
      <c r="K64" s="74"/>
      <c r="L64" s="74"/>
      <c r="M64" s="74"/>
    </row>
    <row r="66" spans="1:24" x14ac:dyDescent="0.25">
      <c r="A66" s="73" t="s">
        <v>14</v>
      </c>
      <c r="B66" s="73"/>
      <c r="C66" s="73"/>
      <c r="D66" s="73"/>
      <c r="E66" s="73"/>
      <c r="F66" s="73"/>
      <c r="G66" s="73"/>
      <c r="H66" s="73"/>
      <c r="I66" s="73"/>
      <c r="J66" s="73"/>
      <c r="K66" s="73"/>
      <c r="L66" s="73"/>
      <c r="M66" s="73"/>
      <c r="N66" s="67" t="s">
        <v>87</v>
      </c>
      <c r="O66" s="67"/>
      <c r="P66" s="67"/>
      <c r="Q66" s="67"/>
      <c r="R66" s="67"/>
      <c r="S66" s="67"/>
      <c r="T66" s="67"/>
      <c r="U66" s="67"/>
      <c r="V66" s="67"/>
      <c r="W66" s="67"/>
      <c r="X66" s="67"/>
    </row>
    <row r="67" spans="1:24" ht="14.85" customHeight="1" x14ac:dyDescent="0.25">
      <c r="A67" s="58"/>
      <c r="B67" s="58"/>
      <c r="C67" s="58"/>
      <c r="D67" s="58"/>
      <c r="E67" s="58"/>
      <c r="F67" s="58"/>
      <c r="G67" s="58"/>
      <c r="H67" s="58"/>
      <c r="I67" s="58"/>
      <c r="J67" s="58"/>
      <c r="K67" s="58"/>
      <c r="L67" s="58"/>
      <c r="M67" s="58"/>
      <c r="N67" s="68" t="s">
        <v>93</v>
      </c>
      <c r="O67" s="68"/>
      <c r="P67" s="68"/>
      <c r="Q67" s="68"/>
      <c r="R67" s="68"/>
      <c r="S67" s="68"/>
      <c r="T67" s="68"/>
      <c r="U67" s="68"/>
      <c r="V67" s="68"/>
      <c r="W67" s="68"/>
      <c r="X67" s="68"/>
    </row>
    <row r="68" spans="1:24" ht="14.85" customHeight="1" x14ac:dyDescent="0.25">
      <c r="A68" s="58"/>
      <c r="B68" s="58"/>
      <c r="C68" s="58"/>
      <c r="D68" s="58"/>
      <c r="E68" s="58"/>
      <c r="F68" s="58"/>
      <c r="G68" s="58"/>
      <c r="H68" s="58"/>
      <c r="I68" s="58"/>
      <c r="J68" s="58"/>
      <c r="K68" s="58"/>
      <c r="L68" s="58"/>
      <c r="M68" s="58"/>
      <c r="N68" s="68"/>
      <c r="O68" s="68"/>
      <c r="P68" s="68"/>
      <c r="Q68" s="68"/>
      <c r="R68" s="68"/>
      <c r="S68" s="68"/>
      <c r="T68" s="68"/>
      <c r="U68" s="68"/>
      <c r="V68" s="68"/>
      <c r="W68" s="68"/>
      <c r="X68" s="68"/>
    </row>
    <row r="69" spans="1:24" x14ac:dyDescent="0.25">
      <c r="A69" s="58"/>
      <c r="B69" s="58"/>
      <c r="C69" s="58"/>
      <c r="D69" s="58"/>
      <c r="E69" s="58"/>
      <c r="F69" s="58"/>
      <c r="G69" s="58"/>
      <c r="H69" s="58"/>
      <c r="I69" s="58"/>
      <c r="J69" s="58"/>
      <c r="K69" s="58"/>
      <c r="L69" s="58"/>
      <c r="M69" s="58"/>
      <c r="N69" s="68"/>
      <c r="O69" s="68"/>
      <c r="P69" s="68"/>
      <c r="Q69" s="68"/>
      <c r="R69" s="68"/>
      <c r="S69" s="68"/>
      <c r="T69" s="68"/>
      <c r="U69" s="68"/>
      <c r="V69" s="68"/>
      <c r="W69" s="68"/>
      <c r="X69" s="68"/>
    </row>
    <row r="70" spans="1:24" x14ac:dyDescent="0.25">
      <c r="A70" s="58"/>
      <c r="B70" s="58"/>
      <c r="C70" s="58"/>
      <c r="D70" s="58"/>
      <c r="E70" s="58"/>
      <c r="F70" s="58"/>
      <c r="G70" s="58"/>
      <c r="H70" s="58"/>
      <c r="I70" s="58"/>
      <c r="J70" s="58"/>
      <c r="K70" s="58"/>
      <c r="L70" s="58"/>
      <c r="M70" s="58"/>
      <c r="N70" s="68"/>
      <c r="O70" s="68"/>
      <c r="P70" s="68"/>
      <c r="Q70" s="68"/>
      <c r="R70" s="68"/>
      <c r="S70" s="68"/>
      <c r="T70" s="68"/>
      <c r="U70" s="68"/>
      <c r="V70" s="68"/>
      <c r="W70" s="68"/>
      <c r="X70" s="68"/>
    </row>
    <row r="71" spans="1:24" x14ac:dyDescent="0.25">
      <c r="A71" s="58"/>
      <c r="B71" s="58"/>
      <c r="C71" s="58"/>
      <c r="D71" s="58"/>
      <c r="E71" s="58"/>
      <c r="F71" s="58"/>
      <c r="G71" s="58"/>
      <c r="H71" s="58"/>
      <c r="I71" s="58"/>
      <c r="J71" s="58"/>
      <c r="K71" s="58"/>
      <c r="L71" s="58"/>
      <c r="M71" s="58"/>
      <c r="N71" s="68"/>
      <c r="O71" s="68"/>
      <c r="P71" s="68"/>
      <c r="Q71" s="68"/>
      <c r="R71" s="68"/>
      <c r="S71" s="68"/>
      <c r="T71" s="68"/>
      <c r="U71" s="68"/>
      <c r="V71" s="68"/>
      <c r="W71" s="68"/>
      <c r="X71" s="68"/>
    </row>
    <row r="72" spans="1:24" x14ac:dyDescent="0.25">
      <c r="A72" s="58"/>
      <c r="B72" s="58"/>
      <c r="C72" s="58"/>
      <c r="D72" s="58"/>
      <c r="E72" s="58"/>
      <c r="F72" s="58"/>
      <c r="G72" s="58"/>
      <c r="H72" s="58"/>
      <c r="I72" s="58"/>
      <c r="J72" s="58"/>
      <c r="K72" s="58"/>
      <c r="L72" s="58"/>
      <c r="M72" s="58"/>
      <c r="N72" s="68"/>
      <c r="O72" s="68"/>
      <c r="P72" s="68"/>
      <c r="Q72" s="68"/>
      <c r="R72" s="68"/>
      <c r="S72" s="68"/>
      <c r="T72" s="68"/>
      <c r="U72" s="68"/>
      <c r="V72" s="68"/>
      <c r="W72" s="68"/>
      <c r="X72" s="68"/>
    </row>
    <row r="73" spans="1:24" x14ac:dyDescent="0.25">
      <c r="A73" s="58"/>
      <c r="B73" s="58"/>
      <c r="C73" s="58"/>
      <c r="D73" s="58"/>
      <c r="E73" s="58"/>
      <c r="F73" s="58"/>
      <c r="G73" s="58"/>
      <c r="H73" s="58"/>
      <c r="I73" s="58"/>
      <c r="J73" s="58"/>
      <c r="K73" s="58"/>
      <c r="L73" s="58"/>
      <c r="M73" s="58"/>
      <c r="N73" s="68"/>
      <c r="O73" s="68"/>
      <c r="P73" s="68"/>
      <c r="Q73" s="68"/>
      <c r="R73" s="68"/>
      <c r="S73" s="68"/>
      <c r="T73" s="68"/>
      <c r="U73" s="68"/>
      <c r="V73" s="68"/>
      <c r="W73" s="68"/>
      <c r="X73" s="68"/>
    </row>
    <row r="74" spans="1:24" x14ac:dyDescent="0.25">
      <c r="A74" s="35" t="s">
        <v>15</v>
      </c>
      <c r="B74" s="40"/>
      <c r="C74" s="72" t="s">
        <v>16</v>
      </c>
      <c r="D74" s="72"/>
      <c r="E74" s="72"/>
      <c r="F74" s="72"/>
      <c r="G74" s="72"/>
      <c r="N74" s="33" t="s">
        <v>15</v>
      </c>
      <c r="O74" s="17">
        <v>80</v>
      </c>
      <c r="P74" s="66" t="s">
        <v>16</v>
      </c>
      <c r="Q74" s="66"/>
      <c r="R74" s="66"/>
      <c r="S74" s="66"/>
      <c r="T74" s="66"/>
    </row>
    <row r="75" spans="1:24" x14ac:dyDescent="0.25">
      <c r="A75" s="35" t="s">
        <v>15</v>
      </c>
      <c r="B75" s="40"/>
      <c r="C75" s="72" t="s">
        <v>17</v>
      </c>
      <c r="D75" s="72"/>
      <c r="E75" s="72"/>
      <c r="F75" s="72"/>
      <c r="G75" s="72"/>
      <c r="N75" s="33" t="s">
        <v>15</v>
      </c>
      <c r="O75" s="17">
        <v>45</v>
      </c>
      <c r="P75" s="66" t="s">
        <v>17</v>
      </c>
      <c r="Q75" s="66"/>
      <c r="R75" s="66"/>
      <c r="S75" s="66"/>
      <c r="T75" s="66"/>
    </row>
    <row r="77" spans="1:24" ht="14.45" customHeight="1" x14ac:dyDescent="0.25">
      <c r="A77" s="74" t="s">
        <v>49</v>
      </c>
      <c r="B77" s="74"/>
      <c r="C77" s="74"/>
      <c r="D77" s="74"/>
      <c r="E77" s="74"/>
      <c r="F77" s="74"/>
      <c r="G77" s="74"/>
      <c r="H77" s="74"/>
      <c r="I77" s="74"/>
      <c r="J77" s="74"/>
      <c r="K77" s="74"/>
      <c r="L77" s="74"/>
      <c r="M77" s="74"/>
    </row>
    <row r="78" spans="1:24" x14ac:dyDescent="0.25">
      <c r="A78" s="74"/>
      <c r="B78" s="74"/>
      <c r="C78" s="74"/>
      <c r="D78" s="74"/>
      <c r="E78" s="74"/>
      <c r="F78" s="74"/>
      <c r="G78" s="74"/>
      <c r="H78" s="74"/>
      <c r="I78" s="74"/>
      <c r="J78" s="74"/>
      <c r="K78" s="74"/>
      <c r="L78" s="74"/>
      <c r="M78" s="74"/>
    </row>
    <row r="79" spans="1:24" x14ac:dyDescent="0.25">
      <c r="A79" s="74"/>
      <c r="B79" s="74"/>
      <c r="C79" s="74"/>
      <c r="D79" s="74"/>
      <c r="E79" s="74"/>
      <c r="F79" s="74"/>
      <c r="G79" s="74"/>
      <c r="H79" s="74"/>
      <c r="I79" s="74"/>
      <c r="J79" s="74"/>
      <c r="K79" s="74"/>
      <c r="L79" s="74"/>
      <c r="M79" s="74"/>
    </row>
    <row r="80" spans="1:24" x14ac:dyDescent="0.25">
      <c r="A80" s="74"/>
      <c r="B80" s="74"/>
      <c r="C80" s="74"/>
      <c r="D80" s="74"/>
      <c r="E80" s="74"/>
      <c r="F80" s="74"/>
      <c r="G80" s="74"/>
      <c r="H80" s="74"/>
      <c r="I80" s="74"/>
      <c r="J80" s="74"/>
      <c r="K80" s="74"/>
      <c r="L80" s="74"/>
      <c r="M80" s="74"/>
    </row>
    <row r="81" spans="1:24" x14ac:dyDescent="0.25">
      <c r="A81" s="74"/>
      <c r="B81" s="74"/>
      <c r="C81" s="74"/>
      <c r="D81" s="74"/>
      <c r="E81" s="74"/>
      <c r="F81" s="74"/>
      <c r="G81" s="74"/>
      <c r="H81" s="74"/>
      <c r="I81" s="74"/>
      <c r="J81" s="74"/>
      <c r="K81" s="74"/>
      <c r="L81" s="74"/>
      <c r="M81" s="74"/>
    </row>
    <row r="82" spans="1:24" x14ac:dyDescent="0.25">
      <c r="A82" s="74"/>
      <c r="B82" s="74"/>
      <c r="C82" s="74"/>
      <c r="D82" s="74"/>
      <c r="E82" s="74"/>
      <c r="F82" s="74"/>
      <c r="G82" s="74"/>
      <c r="H82" s="74"/>
      <c r="I82" s="74"/>
      <c r="J82" s="74"/>
      <c r="K82" s="74"/>
      <c r="L82" s="74"/>
      <c r="M82" s="74"/>
    </row>
    <row r="83" spans="1:24" x14ac:dyDescent="0.25">
      <c r="A83" s="74"/>
      <c r="B83" s="74"/>
      <c r="C83" s="74"/>
      <c r="D83" s="74"/>
      <c r="E83" s="74"/>
      <c r="F83" s="74"/>
      <c r="G83" s="74"/>
      <c r="H83" s="74"/>
      <c r="I83" s="74"/>
      <c r="J83" s="74"/>
      <c r="K83" s="74"/>
      <c r="L83" s="74"/>
      <c r="M83" s="74"/>
    </row>
    <row r="84" spans="1:24" x14ac:dyDescent="0.25">
      <c r="A84" s="74"/>
      <c r="B84" s="74"/>
      <c r="C84" s="74"/>
      <c r="D84" s="74"/>
      <c r="E84" s="74"/>
      <c r="F84" s="74"/>
      <c r="G84" s="74"/>
      <c r="H84" s="74"/>
      <c r="I84" s="74"/>
      <c r="J84" s="74"/>
      <c r="K84" s="74"/>
      <c r="L84" s="74"/>
      <c r="M84" s="74"/>
    </row>
    <row r="86" spans="1:24" x14ac:dyDescent="0.25">
      <c r="A86" s="73" t="s">
        <v>19</v>
      </c>
      <c r="B86" s="73"/>
      <c r="C86" s="73"/>
      <c r="D86" s="73"/>
      <c r="E86" s="73"/>
      <c r="F86" s="73"/>
      <c r="G86" s="73"/>
      <c r="H86" s="73"/>
      <c r="I86" s="73"/>
      <c r="J86" s="73"/>
      <c r="K86" s="73"/>
      <c r="L86" s="73"/>
      <c r="M86" s="73"/>
      <c r="N86" s="67" t="s">
        <v>87</v>
      </c>
      <c r="O86" s="67"/>
      <c r="P86" s="67"/>
      <c r="Q86" s="67"/>
      <c r="R86" s="67"/>
      <c r="S86" s="67"/>
      <c r="T86" s="67"/>
      <c r="U86" s="67"/>
      <c r="V86" s="67"/>
      <c r="W86" s="67"/>
      <c r="X86" s="67"/>
    </row>
    <row r="87" spans="1:24" ht="14.85" customHeight="1" x14ac:dyDescent="0.25">
      <c r="A87" s="58"/>
      <c r="B87" s="86"/>
      <c r="C87" s="86"/>
      <c r="D87" s="86"/>
      <c r="E87" s="86"/>
      <c r="F87" s="86"/>
      <c r="G87" s="86"/>
      <c r="H87" s="86"/>
      <c r="I87" s="86"/>
      <c r="J87" s="86"/>
      <c r="K87" s="86"/>
      <c r="L87" s="86"/>
      <c r="M87" s="86"/>
      <c r="N87" s="68" t="s">
        <v>90</v>
      </c>
      <c r="O87" s="68"/>
      <c r="P87" s="68"/>
      <c r="Q87" s="68"/>
      <c r="R87" s="68"/>
      <c r="S87" s="68"/>
      <c r="T87" s="68"/>
      <c r="U87" s="68"/>
      <c r="V87" s="68"/>
      <c r="W87" s="68"/>
      <c r="X87" s="68"/>
    </row>
    <row r="88" spans="1:24" ht="14.85" customHeight="1" x14ac:dyDescent="0.25">
      <c r="A88" s="86"/>
      <c r="B88" s="86"/>
      <c r="C88" s="86"/>
      <c r="D88" s="86"/>
      <c r="E88" s="86"/>
      <c r="F88" s="86"/>
      <c r="G88" s="86"/>
      <c r="H88" s="86"/>
      <c r="I88" s="86"/>
      <c r="J88" s="86"/>
      <c r="K88" s="86"/>
      <c r="L88" s="86"/>
      <c r="M88" s="86"/>
      <c r="N88" s="68"/>
      <c r="O88" s="68"/>
      <c r="P88" s="68"/>
      <c r="Q88" s="68"/>
      <c r="R88" s="68"/>
      <c r="S88" s="68"/>
      <c r="T88" s="68"/>
      <c r="U88" s="68"/>
      <c r="V88" s="68"/>
      <c r="W88" s="68"/>
      <c r="X88" s="68"/>
    </row>
    <row r="89" spans="1:24" x14ac:dyDescent="0.25">
      <c r="A89" s="86"/>
      <c r="B89" s="86"/>
      <c r="C89" s="86"/>
      <c r="D89" s="86"/>
      <c r="E89" s="86"/>
      <c r="F89" s="86"/>
      <c r="G89" s="86"/>
      <c r="H89" s="86"/>
      <c r="I89" s="86"/>
      <c r="J89" s="86"/>
      <c r="K89" s="86"/>
      <c r="L89" s="86"/>
      <c r="M89" s="86"/>
      <c r="N89" s="68"/>
      <c r="O89" s="68"/>
      <c r="P89" s="68"/>
      <c r="Q89" s="68"/>
      <c r="R89" s="68"/>
      <c r="S89" s="68"/>
      <c r="T89" s="68"/>
      <c r="U89" s="68"/>
      <c r="V89" s="68"/>
      <c r="W89" s="68"/>
      <c r="X89" s="68"/>
    </row>
    <row r="90" spans="1:24" x14ac:dyDescent="0.25">
      <c r="A90" s="86"/>
      <c r="B90" s="86"/>
      <c r="C90" s="86"/>
      <c r="D90" s="86"/>
      <c r="E90" s="86"/>
      <c r="F90" s="86"/>
      <c r="G90" s="86"/>
      <c r="H90" s="86"/>
      <c r="I90" s="86"/>
      <c r="J90" s="86"/>
      <c r="K90" s="86"/>
      <c r="L90" s="86"/>
      <c r="M90" s="86"/>
      <c r="N90" s="68"/>
      <c r="O90" s="68"/>
      <c r="P90" s="68"/>
      <c r="Q90" s="68"/>
      <c r="R90" s="68"/>
      <c r="S90" s="68"/>
      <c r="T90" s="68"/>
      <c r="U90" s="68"/>
      <c r="V90" s="68"/>
      <c r="W90" s="68"/>
      <c r="X90" s="68"/>
    </row>
    <row r="91" spans="1:24" x14ac:dyDescent="0.25">
      <c r="A91" s="86"/>
      <c r="B91" s="86"/>
      <c r="C91" s="86"/>
      <c r="D91" s="86"/>
      <c r="E91" s="86"/>
      <c r="F91" s="86"/>
      <c r="G91" s="86"/>
      <c r="H91" s="86"/>
      <c r="I91" s="86"/>
      <c r="J91" s="86"/>
      <c r="K91" s="86"/>
      <c r="L91" s="86"/>
      <c r="M91" s="86"/>
      <c r="N91" s="68"/>
      <c r="O91" s="68"/>
      <c r="P91" s="68"/>
      <c r="Q91" s="68"/>
      <c r="R91" s="68"/>
      <c r="S91" s="68"/>
      <c r="T91" s="68"/>
      <c r="U91" s="68"/>
      <c r="V91" s="68"/>
      <c r="W91" s="68"/>
      <c r="X91" s="68"/>
    </row>
    <row r="92" spans="1:24" x14ac:dyDescent="0.25">
      <c r="A92" s="86"/>
      <c r="B92" s="86"/>
      <c r="C92" s="86"/>
      <c r="D92" s="86"/>
      <c r="E92" s="86"/>
      <c r="F92" s="86"/>
      <c r="G92" s="86"/>
      <c r="H92" s="86"/>
      <c r="I92" s="86"/>
      <c r="J92" s="86"/>
      <c r="K92" s="86"/>
      <c r="L92" s="86"/>
      <c r="M92" s="86"/>
      <c r="N92" s="68"/>
      <c r="O92" s="68"/>
      <c r="P92" s="68"/>
      <c r="Q92" s="68"/>
      <c r="R92" s="68"/>
      <c r="S92" s="68"/>
      <c r="T92" s="68"/>
      <c r="U92" s="68"/>
      <c r="V92" s="68"/>
      <c r="W92" s="68"/>
      <c r="X92" s="68"/>
    </row>
    <row r="93" spans="1:24" x14ac:dyDescent="0.25">
      <c r="A93" s="87"/>
      <c r="B93" s="87"/>
      <c r="C93" s="87"/>
      <c r="D93" s="87"/>
      <c r="E93" s="87"/>
      <c r="F93" s="87"/>
      <c r="G93" s="87"/>
      <c r="H93" s="86"/>
      <c r="I93" s="86"/>
      <c r="J93" s="86"/>
      <c r="K93" s="86"/>
      <c r="L93" s="86"/>
      <c r="M93" s="86"/>
      <c r="N93" s="68"/>
      <c r="O93" s="68"/>
      <c r="P93" s="68"/>
      <c r="Q93" s="68"/>
      <c r="R93" s="68"/>
      <c r="S93" s="68"/>
      <c r="T93" s="68"/>
      <c r="U93" s="68"/>
      <c r="V93" s="68"/>
      <c r="W93" s="68"/>
      <c r="X93" s="68"/>
    </row>
    <row r="94" spans="1:24" x14ac:dyDescent="0.25">
      <c r="A94" s="72" t="s">
        <v>20</v>
      </c>
      <c r="B94" s="72"/>
      <c r="C94" s="72"/>
      <c r="D94" s="41"/>
      <c r="E94" s="72" t="s">
        <v>21</v>
      </c>
      <c r="F94" s="72"/>
      <c r="G94" s="72"/>
      <c r="N94" s="66" t="s">
        <v>20</v>
      </c>
      <c r="O94" s="66"/>
      <c r="P94" s="66"/>
      <c r="Q94" s="11">
        <v>8</v>
      </c>
      <c r="R94" s="66" t="s">
        <v>21</v>
      </c>
      <c r="S94" s="66"/>
      <c r="T94" s="66"/>
    </row>
    <row r="95" spans="1:24" x14ac:dyDescent="0.25">
      <c r="A95" s="72" t="s">
        <v>20</v>
      </c>
      <c r="B95" s="72"/>
      <c r="C95" s="72"/>
      <c r="D95" s="41"/>
      <c r="E95" s="72" t="s">
        <v>22</v>
      </c>
      <c r="F95" s="72"/>
      <c r="G95" s="72"/>
      <c r="N95" s="66" t="s">
        <v>20</v>
      </c>
      <c r="O95" s="66"/>
      <c r="P95" s="66"/>
      <c r="Q95" s="11">
        <v>4</v>
      </c>
      <c r="R95" s="66" t="s">
        <v>22</v>
      </c>
      <c r="S95" s="66"/>
      <c r="T95" s="66"/>
    </row>
    <row r="97" spans="1:24" x14ac:dyDescent="0.25">
      <c r="A97" s="74" t="s">
        <v>23</v>
      </c>
      <c r="B97" s="74"/>
      <c r="C97" s="74"/>
      <c r="D97" s="74"/>
      <c r="E97" s="74"/>
      <c r="F97" s="74"/>
      <c r="G97" s="74"/>
      <c r="H97" s="74"/>
      <c r="I97" s="74"/>
      <c r="J97" s="74"/>
      <c r="K97" s="74"/>
      <c r="L97" s="74"/>
      <c r="M97" s="74"/>
    </row>
    <row r="98" spans="1:24" x14ac:dyDescent="0.25">
      <c r="A98" s="74"/>
      <c r="B98" s="74"/>
      <c r="C98" s="74"/>
      <c r="D98" s="74"/>
      <c r="E98" s="74"/>
      <c r="F98" s="74"/>
      <c r="G98" s="74"/>
      <c r="H98" s="74"/>
      <c r="I98" s="74"/>
      <c r="J98" s="74"/>
      <c r="K98" s="74"/>
      <c r="L98" s="74"/>
      <c r="M98" s="74"/>
    </row>
    <row r="99" spans="1:24" x14ac:dyDescent="0.25">
      <c r="A99" s="74"/>
      <c r="B99" s="74"/>
      <c r="C99" s="74"/>
      <c r="D99" s="74"/>
      <c r="E99" s="74"/>
      <c r="F99" s="74"/>
      <c r="G99" s="74"/>
      <c r="H99" s="74"/>
      <c r="I99" s="74"/>
      <c r="J99" s="74"/>
      <c r="K99" s="74"/>
      <c r="L99" s="74"/>
      <c r="M99" s="74"/>
    </row>
    <row r="100" spans="1:24" x14ac:dyDescent="0.25">
      <c r="A100" s="74"/>
      <c r="B100" s="74"/>
      <c r="C100" s="74"/>
      <c r="D100" s="74"/>
      <c r="E100" s="74"/>
      <c r="F100" s="74"/>
      <c r="G100" s="74"/>
      <c r="H100" s="74"/>
      <c r="I100" s="74"/>
      <c r="J100" s="74"/>
      <c r="K100" s="74"/>
      <c r="L100" s="74"/>
      <c r="M100" s="74"/>
    </row>
    <row r="101" spans="1:24" x14ac:dyDescent="0.25">
      <c r="A101" s="74"/>
      <c r="B101" s="74"/>
      <c r="C101" s="74"/>
      <c r="D101" s="74"/>
      <c r="E101" s="74"/>
      <c r="F101" s="74"/>
      <c r="G101" s="74"/>
      <c r="H101" s="74"/>
      <c r="I101" s="74"/>
      <c r="J101" s="74"/>
      <c r="K101" s="74"/>
      <c r="L101" s="74"/>
      <c r="M101" s="74"/>
    </row>
    <row r="102" spans="1:24" x14ac:dyDescent="0.25">
      <c r="A102" s="74"/>
      <c r="B102" s="74"/>
      <c r="C102" s="74"/>
      <c r="D102" s="74"/>
      <c r="E102" s="74"/>
      <c r="F102" s="74"/>
      <c r="G102" s="74"/>
      <c r="H102" s="74"/>
      <c r="I102" s="74"/>
      <c r="J102" s="74"/>
      <c r="K102" s="74"/>
      <c r="L102" s="74"/>
      <c r="M102" s="74"/>
    </row>
    <row r="103" spans="1:24" x14ac:dyDescent="0.25">
      <c r="A103" s="74"/>
      <c r="B103" s="74"/>
      <c r="C103" s="74"/>
      <c r="D103" s="74"/>
      <c r="E103" s="74"/>
      <c r="F103" s="74"/>
      <c r="G103" s="74"/>
      <c r="H103" s="74"/>
      <c r="I103" s="74"/>
      <c r="J103" s="74"/>
      <c r="K103" s="74"/>
      <c r="L103" s="74"/>
      <c r="M103" s="74"/>
    </row>
    <row r="104" spans="1:24" x14ac:dyDescent="0.25">
      <c r="A104" s="74"/>
      <c r="B104" s="74"/>
      <c r="C104" s="74"/>
      <c r="D104" s="74"/>
      <c r="E104" s="74"/>
      <c r="F104" s="74"/>
      <c r="G104" s="74"/>
      <c r="H104" s="74"/>
      <c r="I104" s="74"/>
      <c r="J104" s="74"/>
      <c r="K104" s="74"/>
      <c r="L104" s="74"/>
      <c r="M104" s="74"/>
    </row>
    <row r="106" spans="1:24" x14ac:dyDescent="0.25">
      <c r="A106" s="73" t="s">
        <v>24</v>
      </c>
      <c r="B106" s="73"/>
      <c r="C106" s="73"/>
      <c r="D106" s="73"/>
      <c r="E106" s="73"/>
      <c r="F106" s="73"/>
      <c r="G106" s="73"/>
      <c r="H106" s="73"/>
      <c r="I106" s="73"/>
      <c r="J106" s="73"/>
      <c r="K106" s="73"/>
      <c r="L106" s="73"/>
      <c r="M106" s="73"/>
      <c r="N106" s="67" t="s">
        <v>87</v>
      </c>
      <c r="O106" s="67"/>
      <c r="P106" s="67"/>
      <c r="Q106" s="67"/>
      <c r="R106" s="67"/>
      <c r="S106" s="67"/>
      <c r="T106" s="67"/>
      <c r="U106" s="67"/>
      <c r="V106" s="67"/>
      <c r="W106" s="67"/>
      <c r="X106" s="67"/>
    </row>
    <row r="107" spans="1:24" ht="14.85" customHeight="1" x14ac:dyDescent="0.25">
      <c r="A107" s="58"/>
      <c r="B107" s="58"/>
      <c r="C107" s="58"/>
      <c r="D107" s="58"/>
      <c r="E107" s="58"/>
      <c r="F107" s="58"/>
      <c r="G107" s="58"/>
      <c r="H107" s="58"/>
      <c r="I107" s="58"/>
      <c r="J107" s="58"/>
      <c r="K107" s="58"/>
      <c r="L107" s="58"/>
      <c r="M107" s="58"/>
      <c r="N107" s="68" t="s">
        <v>94</v>
      </c>
      <c r="O107" s="68"/>
      <c r="P107" s="68"/>
      <c r="Q107" s="68"/>
      <c r="R107" s="68"/>
      <c r="S107" s="68"/>
      <c r="T107" s="68"/>
      <c r="U107" s="68"/>
      <c r="V107" s="68"/>
      <c r="W107" s="68"/>
      <c r="X107" s="68"/>
    </row>
    <row r="108" spans="1:24" x14ac:dyDescent="0.25">
      <c r="A108" s="58"/>
      <c r="B108" s="58"/>
      <c r="C108" s="58"/>
      <c r="D108" s="58"/>
      <c r="E108" s="58"/>
      <c r="F108" s="58"/>
      <c r="G108" s="58"/>
      <c r="H108" s="58"/>
      <c r="I108" s="58"/>
      <c r="J108" s="58"/>
      <c r="K108" s="58"/>
      <c r="L108" s="58"/>
      <c r="M108" s="58"/>
      <c r="N108" s="68"/>
      <c r="O108" s="68"/>
      <c r="P108" s="68"/>
      <c r="Q108" s="68"/>
      <c r="R108" s="68"/>
      <c r="S108" s="68"/>
      <c r="T108" s="68"/>
      <c r="U108" s="68"/>
      <c r="V108" s="68"/>
      <c r="W108" s="68"/>
      <c r="X108" s="68"/>
    </row>
    <row r="109" spans="1:24" x14ac:dyDescent="0.25">
      <c r="A109" s="58"/>
      <c r="B109" s="58"/>
      <c r="C109" s="58"/>
      <c r="D109" s="58"/>
      <c r="E109" s="58"/>
      <c r="F109" s="58"/>
      <c r="G109" s="58"/>
      <c r="H109" s="58"/>
      <c r="I109" s="58"/>
      <c r="J109" s="58"/>
      <c r="K109" s="58"/>
      <c r="L109" s="58"/>
      <c r="M109" s="58"/>
      <c r="N109" s="68"/>
      <c r="O109" s="68"/>
      <c r="P109" s="68"/>
      <c r="Q109" s="68"/>
      <c r="R109" s="68"/>
      <c r="S109" s="68"/>
      <c r="T109" s="68"/>
      <c r="U109" s="68"/>
      <c r="V109" s="68"/>
      <c r="W109" s="68"/>
      <c r="X109" s="68"/>
    </row>
    <row r="110" spans="1:24" x14ac:dyDescent="0.25">
      <c r="A110" s="58"/>
      <c r="B110" s="58"/>
      <c r="C110" s="58"/>
      <c r="D110" s="58"/>
      <c r="E110" s="58"/>
      <c r="F110" s="58"/>
      <c r="G110" s="58"/>
      <c r="H110" s="58"/>
      <c r="I110" s="58"/>
      <c r="J110" s="58"/>
      <c r="K110" s="58"/>
      <c r="L110" s="58"/>
      <c r="M110" s="58"/>
      <c r="N110" s="68"/>
      <c r="O110" s="68"/>
      <c r="P110" s="68"/>
      <c r="Q110" s="68"/>
      <c r="R110" s="68"/>
      <c r="S110" s="68"/>
      <c r="T110" s="68"/>
      <c r="U110" s="68"/>
      <c r="V110" s="68"/>
      <c r="W110" s="68"/>
      <c r="X110" s="68"/>
    </row>
    <row r="111" spans="1:24" x14ac:dyDescent="0.25">
      <c r="A111" s="58"/>
      <c r="B111" s="58"/>
      <c r="C111" s="58"/>
      <c r="D111" s="58"/>
      <c r="E111" s="58"/>
      <c r="F111" s="58"/>
      <c r="G111" s="58"/>
      <c r="H111" s="58"/>
      <c r="I111" s="58"/>
      <c r="J111" s="58"/>
      <c r="K111" s="58"/>
      <c r="L111" s="58"/>
      <c r="M111" s="58"/>
      <c r="N111" s="68"/>
      <c r="O111" s="68"/>
      <c r="P111" s="68"/>
      <c r="Q111" s="68"/>
      <c r="R111" s="68"/>
      <c r="S111" s="68"/>
      <c r="T111" s="68"/>
      <c r="U111" s="68"/>
      <c r="V111" s="68"/>
      <c r="W111" s="68"/>
      <c r="X111" s="68"/>
    </row>
    <row r="112" spans="1:24" x14ac:dyDescent="0.25">
      <c r="A112" s="58"/>
      <c r="B112" s="58"/>
      <c r="C112" s="58"/>
      <c r="D112" s="58"/>
      <c r="E112" s="58"/>
      <c r="F112" s="58"/>
      <c r="G112" s="58"/>
      <c r="H112" s="58"/>
      <c r="I112" s="58"/>
      <c r="J112" s="58"/>
      <c r="K112" s="58"/>
      <c r="L112" s="58"/>
      <c r="M112" s="58"/>
      <c r="N112" s="68"/>
      <c r="O112" s="68"/>
      <c r="P112" s="68"/>
      <c r="Q112" s="68"/>
      <c r="R112" s="68"/>
      <c r="S112" s="68"/>
      <c r="T112" s="68"/>
      <c r="U112" s="68"/>
      <c r="V112" s="68"/>
      <c r="W112" s="68"/>
      <c r="X112" s="68"/>
    </row>
    <row r="113" spans="1:24" x14ac:dyDescent="0.25">
      <c r="A113" s="93"/>
      <c r="B113" s="93"/>
      <c r="C113" s="93"/>
      <c r="D113" s="93"/>
      <c r="E113" s="93"/>
      <c r="F113" s="93"/>
      <c r="G113" s="93"/>
      <c r="H113" s="58"/>
      <c r="I113" s="58"/>
      <c r="J113" s="58"/>
      <c r="K113" s="58"/>
      <c r="L113" s="58"/>
      <c r="M113" s="58"/>
      <c r="N113" s="68"/>
      <c r="O113" s="68"/>
      <c r="P113" s="68"/>
      <c r="Q113" s="68"/>
      <c r="R113" s="68"/>
      <c r="S113" s="68"/>
      <c r="T113" s="68"/>
      <c r="U113" s="68"/>
      <c r="V113" s="68"/>
      <c r="W113" s="68"/>
      <c r="X113" s="68"/>
    </row>
    <row r="114" spans="1:24" x14ac:dyDescent="0.25">
      <c r="A114" s="72" t="s">
        <v>25</v>
      </c>
      <c r="B114" s="72"/>
      <c r="C114" s="72"/>
      <c r="D114" s="41"/>
      <c r="E114" s="72" t="s">
        <v>58</v>
      </c>
      <c r="F114" s="72"/>
      <c r="G114" s="72"/>
      <c r="N114" s="66" t="s">
        <v>25</v>
      </c>
      <c r="O114" s="66"/>
      <c r="P114" s="66"/>
      <c r="Q114" s="11">
        <v>10</v>
      </c>
      <c r="R114" s="66" t="s">
        <v>58</v>
      </c>
      <c r="S114" s="66"/>
      <c r="T114" s="66"/>
    </row>
    <row r="116" spans="1:24" x14ac:dyDescent="0.25">
      <c r="A116" s="74" t="s">
        <v>68</v>
      </c>
      <c r="B116" s="74"/>
      <c r="C116" s="74"/>
      <c r="D116" s="74"/>
      <c r="E116" s="74"/>
      <c r="F116" s="74"/>
      <c r="G116" s="74"/>
      <c r="H116" s="74"/>
      <c r="I116" s="74"/>
      <c r="J116" s="74"/>
      <c r="K116" s="74"/>
      <c r="L116" s="74"/>
      <c r="M116" s="74"/>
    </row>
    <row r="117" spans="1:24" x14ac:dyDescent="0.25">
      <c r="A117" s="74"/>
      <c r="B117" s="74"/>
      <c r="C117" s="74"/>
      <c r="D117" s="74"/>
      <c r="E117" s="74"/>
      <c r="F117" s="74"/>
      <c r="G117" s="74"/>
      <c r="H117" s="74"/>
      <c r="I117" s="74"/>
      <c r="J117" s="74"/>
      <c r="K117" s="74"/>
      <c r="L117" s="74"/>
      <c r="M117" s="74"/>
    </row>
    <row r="118" spans="1:24" x14ac:dyDescent="0.25">
      <c r="A118" s="74"/>
      <c r="B118" s="74"/>
      <c r="C118" s="74"/>
      <c r="D118" s="74"/>
      <c r="E118" s="74"/>
      <c r="F118" s="74"/>
      <c r="G118" s="74"/>
      <c r="H118" s="74"/>
      <c r="I118" s="74"/>
      <c r="J118" s="74"/>
      <c r="K118" s="74"/>
      <c r="L118" s="74"/>
      <c r="M118" s="74"/>
    </row>
    <row r="119" spans="1:24" x14ac:dyDescent="0.25">
      <c r="A119" s="74"/>
      <c r="B119" s="74"/>
      <c r="C119" s="74"/>
      <c r="D119" s="74"/>
      <c r="E119" s="74"/>
      <c r="F119" s="74"/>
      <c r="G119" s="74"/>
      <c r="H119" s="74"/>
      <c r="I119" s="74"/>
      <c r="J119" s="74"/>
      <c r="K119" s="74"/>
      <c r="L119" s="74"/>
      <c r="M119" s="74"/>
    </row>
    <row r="120" spans="1:24" x14ac:dyDescent="0.25">
      <c r="A120" s="74"/>
      <c r="B120" s="74"/>
      <c r="C120" s="74"/>
      <c r="D120" s="74"/>
      <c r="E120" s="74"/>
      <c r="F120" s="74"/>
      <c r="G120" s="74"/>
      <c r="H120" s="74"/>
      <c r="I120" s="74"/>
      <c r="J120" s="74"/>
      <c r="K120" s="74"/>
      <c r="L120" s="74"/>
      <c r="M120" s="74"/>
    </row>
    <row r="121" spans="1:24" x14ac:dyDescent="0.25">
      <c r="A121" s="74"/>
      <c r="B121" s="74"/>
      <c r="C121" s="74"/>
      <c r="D121" s="74"/>
      <c r="E121" s="74"/>
      <c r="F121" s="74"/>
      <c r="G121" s="74"/>
      <c r="H121" s="74"/>
      <c r="I121" s="74"/>
      <c r="J121" s="74"/>
      <c r="K121" s="74"/>
      <c r="L121" s="74"/>
      <c r="M121" s="74"/>
    </row>
    <row r="122" spans="1:24" x14ac:dyDescent="0.25">
      <c r="A122" s="74"/>
      <c r="B122" s="74"/>
      <c r="C122" s="74"/>
      <c r="D122" s="74"/>
      <c r="E122" s="74"/>
      <c r="F122" s="74"/>
      <c r="G122" s="74"/>
      <c r="H122" s="74"/>
      <c r="I122" s="74"/>
      <c r="J122" s="74"/>
      <c r="K122" s="74"/>
      <c r="L122" s="74"/>
      <c r="M122" s="74"/>
    </row>
    <row r="123" spans="1:24" x14ac:dyDescent="0.25">
      <c r="A123" s="74"/>
      <c r="B123" s="74"/>
      <c r="C123" s="74"/>
      <c r="D123" s="74"/>
      <c r="E123" s="74"/>
      <c r="F123" s="74"/>
      <c r="G123" s="74"/>
      <c r="H123" s="74"/>
      <c r="I123" s="74"/>
      <c r="J123" s="74"/>
      <c r="K123" s="74"/>
      <c r="L123" s="74"/>
      <c r="M123" s="74"/>
    </row>
    <row r="125" spans="1:24" x14ac:dyDescent="0.25">
      <c r="A125" s="91" t="s">
        <v>40</v>
      </c>
      <c r="B125" s="92"/>
      <c r="C125" s="92"/>
      <c r="D125" s="92"/>
      <c r="E125" s="92"/>
      <c r="F125" s="92"/>
      <c r="G125" s="92"/>
      <c r="H125" s="92"/>
      <c r="I125" s="92"/>
      <c r="J125" s="92"/>
      <c r="K125" s="92"/>
      <c r="L125" s="92"/>
      <c r="M125" s="92"/>
      <c r="N125" s="67" t="s">
        <v>87</v>
      </c>
      <c r="O125" s="67"/>
      <c r="P125" s="67"/>
      <c r="Q125" s="67"/>
      <c r="R125" s="67"/>
      <c r="S125" s="67"/>
      <c r="T125" s="67"/>
      <c r="U125" s="67"/>
      <c r="V125" s="67"/>
      <c r="W125" s="67"/>
      <c r="X125" s="67"/>
    </row>
    <row r="126" spans="1:24" ht="14.85" customHeight="1" x14ac:dyDescent="0.25">
      <c r="A126" s="58"/>
      <c r="B126" s="86"/>
      <c r="C126" s="86"/>
      <c r="D126" s="86"/>
      <c r="E126" s="86"/>
      <c r="F126" s="86"/>
      <c r="G126" s="86"/>
      <c r="H126" s="86"/>
      <c r="I126" s="86"/>
      <c r="J126" s="86"/>
      <c r="K126" s="86"/>
      <c r="L126" s="86"/>
      <c r="M126" s="86"/>
      <c r="N126" s="68" t="s">
        <v>95</v>
      </c>
      <c r="O126" s="68"/>
      <c r="P126" s="68"/>
      <c r="Q126" s="68"/>
      <c r="R126" s="68"/>
      <c r="S126" s="68"/>
      <c r="T126" s="68"/>
      <c r="U126" s="68"/>
      <c r="V126" s="68"/>
      <c r="W126" s="68"/>
      <c r="X126" s="68"/>
    </row>
    <row r="127" spans="1:24" x14ac:dyDescent="0.25">
      <c r="A127" s="86"/>
      <c r="B127" s="86"/>
      <c r="C127" s="86"/>
      <c r="D127" s="86"/>
      <c r="E127" s="86"/>
      <c r="F127" s="86"/>
      <c r="G127" s="86"/>
      <c r="H127" s="86"/>
      <c r="I127" s="86"/>
      <c r="J127" s="86"/>
      <c r="K127" s="86"/>
      <c r="L127" s="86"/>
      <c r="M127" s="86"/>
      <c r="N127" s="68"/>
      <c r="O127" s="68"/>
      <c r="P127" s="68"/>
      <c r="Q127" s="68"/>
      <c r="R127" s="68"/>
      <c r="S127" s="68"/>
      <c r="T127" s="68"/>
      <c r="U127" s="68"/>
      <c r="V127" s="68"/>
      <c r="W127" s="68"/>
      <c r="X127" s="68"/>
    </row>
    <row r="128" spans="1:24" x14ac:dyDescent="0.25">
      <c r="A128" s="86"/>
      <c r="B128" s="86"/>
      <c r="C128" s="86"/>
      <c r="D128" s="86"/>
      <c r="E128" s="86"/>
      <c r="F128" s="86"/>
      <c r="G128" s="86"/>
      <c r="H128" s="86"/>
      <c r="I128" s="86"/>
      <c r="J128" s="86"/>
      <c r="K128" s="86"/>
      <c r="L128" s="86"/>
      <c r="M128" s="86"/>
      <c r="N128" s="68"/>
      <c r="O128" s="68"/>
      <c r="P128" s="68"/>
      <c r="Q128" s="68"/>
      <c r="R128" s="68"/>
      <c r="S128" s="68"/>
      <c r="T128" s="68"/>
      <c r="U128" s="68"/>
      <c r="V128" s="68"/>
      <c r="W128" s="68"/>
      <c r="X128" s="68"/>
    </row>
    <row r="129" spans="1:24" x14ac:dyDescent="0.25">
      <c r="A129" s="86"/>
      <c r="B129" s="86"/>
      <c r="C129" s="86"/>
      <c r="D129" s="86"/>
      <c r="E129" s="86"/>
      <c r="F129" s="86"/>
      <c r="G129" s="86"/>
      <c r="H129" s="86"/>
      <c r="I129" s="86"/>
      <c r="J129" s="86"/>
      <c r="K129" s="86"/>
      <c r="L129" s="86"/>
      <c r="M129" s="86"/>
      <c r="N129" s="68"/>
      <c r="O129" s="68"/>
      <c r="P129" s="68"/>
      <c r="Q129" s="68"/>
      <c r="R129" s="68"/>
      <c r="S129" s="68"/>
      <c r="T129" s="68"/>
      <c r="U129" s="68"/>
      <c r="V129" s="68"/>
      <c r="W129" s="68"/>
      <c r="X129" s="68"/>
    </row>
    <row r="130" spans="1:24" x14ac:dyDescent="0.25">
      <c r="A130" s="86"/>
      <c r="B130" s="86"/>
      <c r="C130" s="86"/>
      <c r="D130" s="86"/>
      <c r="E130" s="86"/>
      <c r="F130" s="86"/>
      <c r="G130" s="86"/>
      <c r="H130" s="86"/>
      <c r="I130" s="86"/>
      <c r="J130" s="86"/>
      <c r="K130" s="86"/>
      <c r="L130" s="86"/>
      <c r="M130" s="86"/>
      <c r="N130" s="68"/>
      <c r="O130" s="68"/>
      <c r="P130" s="68"/>
      <c r="Q130" s="68"/>
      <c r="R130" s="68"/>
      <c r="S130" s="68"/>
      <c r="T130" s="68"/>
      <c r="U130" s="68"/>
      <c r="V130" s="68"/>
      <c r="W130" s="68"/>
      <c r="X130" s="68"/>
    </row>
    <row r="131" spans="1:24" x14ac:dyDescent="0.25">
      <c r="A131" s="86"/>
      <c r="B131" s="86"/>
      <c r="C131" s="86"/>
      <c r="D131" s="86"/>
      <c r="E131" s="86"/>
      <c r="F131" s="86"/>
      <c r="G131" s="86"/>
      <c r="H131" s="86"/>
      <c r="I131" s="86"/>
      <c r="J131" s="86"/>
      <c r="K131" s="86"/>
      <c r="L131" s="86"/>
      <c r="M131" s="86"/>
      <c r="N131" s="68"/>
      <c r="O131" s="68"/>
      <c r="P131" s="68"/>
      <c r="Q131" s="68"/>
      <c r="R131" s="68"/>
      <c r="S131" s="68"/>
      <c r="T131" s="68"/>
      <c r="U131" s="68"/>
      <c r="V131" s="68"/>
      <c r="W131" s="68"/>
      <c r="X131" s="68"/>
    </row>
    <row r="132" spans="1:24" x14ac:dyDescent="0.25">
      <c r="A132" s="87"/>
      <c r="B132" s="87"/>
      <c r="C132" s="87"/>
      <c r="D132" s="87"/>
      <c r="E132" s="87"/>
      <c r="F132" s="87"/>
      <c r="G132" s="87"/>
      <c r="H132" s="86"/>
      <c r="I132" s="86"/>
      <c r="J132" s="86"/>
      <c r="K132" s="86"/>
      <c r="L132" s="86"/>
      <c r="M132" s="86"/>
      <c r="N132" s="68"/>
      <c r="O132" s="68"/>
      <c r="P132" s="68"/>
      <c r="Q132" s="68"/>
      <c r="R132" s="68"/>
      <c r="S132" s="68"/>
      <c r="T132" s="68"/>
      <c r="U132" s="68"/>
      <c r="V132" s="68"/>
      <c r="W132" s="68"/>
      <c r="X132" s="68"/>
    </row>
    <row r="133" spans="1:24" x14ac:dyDescent="0.25">
      <c r="A133" s="88" t="s">
        <v>45</v>
      </c>
      <c r="B133" s="89"/>
      <c r="C133" s="90"/>
      <c r="D133" s="41">
        <v>0</v>
      </c>
      <c r="E133" s="88" t="s">
        <v>43</v>
      </c>
      <c r="F133" s="89"/>
      <c r="G133" s="90"/>
      <c r="N133" s="63" t="s">
        <v>45</v>
      </c>
      <c r="O133" s="64"/>
      <c r="P133" s="65"/>
      <c r="Q133" s="11">
        <v>5</v>
      </c>
      <c r="R133" s="63" t="s">
        <v>43</v>
      </c>
      <c r="S133" s="64"/>
      <c r="T133" s="65"/>
    </row>
    <row r="134" spans="1:24" x14ac:dyDescent="0.25">
      <c r="A134" s="88" t="s">
        <v>41</v>
      </c>
      <c r="B134" s="89"/>
      <c r="C134" s="90"/>
      <c r="D134" s="41"/>
      <c r="E134" s="88" t="s">
        <v>44</v>
      </c>
      <c r="F134" s="89"/>
      <c r="G134" s="90"/>
      <c r="N134" s="63" t="s">
        <v>41</v>
      </c>
      <c r="O134" s="64"/>
      <c r="P134" s="65"/>
      <c r="Q134" s="11">
        <v>2</v>
      </c>
      <c r="R134" s="63" t="s">
        <v>44</v>
      </c>
      <c r="S134" s="64"/>
      <c r="T134" s="65"/>
    </row>
    <row r="135" spans="1:24" x14ac:dyDescent="0.25">
      <c r="A135" s="88" t="s">
        <v>42</v>
      </c>
      <c r="B135" s="89"/>
      <c r="C135" s="90"/>
      <c r="D135" s="41"/>
      <c r="E135" s="88" t="s">
        <v>46</v>
      </c>
      <c r="F135" s="89"/>
      <c r="G135" s="90"/>
      <c r="N135" s="63" t="s">
        <v>42</v>
      </c>
      <c r="O135" s="64"/>
      <c r="P135" s="65"/>
      <c r="Q135" s="11">
        <v>240</v>
      </c>
      <c r="R135" s="63" t="s">
        <v>46</v>
      </c>
      <c r="S135" s="64"/>
      <c r="T135" s="65"/>
    </row>
  </sheetData>
  <sheetProtection algorithmName="SHA-512" hashValue="a3sVjorNbnkNaeyP0fEpMSIv1+NRTJjHKKl5qGiYI9muRgFhMl6i90Q4pON9kUY6dH+AXMO6chYSDqwesyrGNA==" saltValue="kZ7Z7HzhD0EbBSJBog12OQ==" spinCount="100000" sheet="1" objects="1" scenarios="1"/>
  <mergeCells count="77">
    <mergeCell ref="A2:M3"/>
    <mergeCell ref="A4:M10"/>
    <mergeCell ref="A13:M19"/>
    <mergeCell ref="A41:M45"/>
    <mergeCell ref="A21:M27"/>
    <mergeCell ref="A30:M36"/>
    <mergeCell ref="A37:D37"/>
    <mergeCell ref="A38:D38"/>
    <mergeCell ref="F37:I37"/>
    <mergeCell ref="A12:M12"/>
    <mergeCell ref="A29:M29"/>
    <mergeCell ref="F38:I38"/>
    <mergeCell ref="A39:D39"/>
    <mergeCell ref="F39:I39"/>
    <mergeCell ref="A95:C95"/>
    <mergeCell ref="E95:G95"/>
    <mergeCell ref="A135:C135"/>
    <mergeCell ref="E135:G135"/>
    <mergeCell ref="A126:M132"/>
    <mergeCell ref="A133:C133"/>
    <mergeCell ref="E133:G133"/>
    <mergeCell ref="A134:C134"/>
    <mergeCell ref="E134:G134"/>
    <mergeCell ref="A125:M125"/>
    <mergeCell ref="A116:M123"/>
    <mergeCell ref="A114:C114"/>
    <mergeCell ref="E114:G114"/>
    <mergeCell ref="A106:M106"/>
    <mergeCell ref="A97:M104"/>
    <mergeCell ref="A107:M113"/>
    <mergeCell ref="E94:G94"/>
    <mergeCell ref="A47:M47"/>
    <mergeCell ref="A66:M66"/>
    <mergeCell ref="A86:M86"/>
    <mergeCell ref="C74:G74"/>
    <mergeCell ref="C75:G75"/>
    <mergeCell ref="A94:C94"/>
    <mergeCell ref="A77:M84"/>
    <mergeCell ref="A48:M54"/>
    <mergeCell ref="A55:B55"/>
    <mergeCell ref="A87:M93"/>
    <mergeCell ref="A57:M64"/>
    <mergeCell ref="A67:M73"/>
    <mergeCell ref="N12:X12"/>
    <mergeCell ref="N13:X19"/>
    <mergeCell ref="N29:X29"/>
    <mergeCell ref="N30:X36"/>
    <mergeCell ref="N37:R37"/>
    <mergeCell ref="N125:X125"/>
    <mergeCell ref="N126:X132"/>
    <mergeCell ref="N47:X47"/>
    <mergeCell ref="N48:X54"/>
    <mergeCell ref="N66:X66"/>
    <mergeCell ref="N67:X73"/>
    <mergeCell ref="N86:X86"/>
    <mergeCell ref="N87:X93"/>
    <mergeCell ref="N55:O55"/>
    <mergeCell ref="P74:T74"/>
    <mergeCell ref="P75:T75"/>
    <mergeCell ref="N114:P114"/>
    <mergeCell ref="R114:T114"/>
    <mergeCell ref="N107:X113"/>
    <mergeCell ref="N38:R38"/>
    <mergeCell ref="T37:W37"/>
    <mergeCell ref="T38:W38"/>
    <mergeCell ref="T39:W39"/>
    <mergeCell ref="N106:X106"/>
    <mergeCell ref="N94:P94"/>
    <mergeCell ref="N95:P95"/>
    <mergeCell ref="R94:T94"/>
    <mergeCell ref="R95:T95"/>
    <mergeCell ref="N133:P133"/>
    <mergeCell ref="R133:T133"/>
    <mergeCell ref="N134:P134"/>
    <mergeCell ref="R134:T134"/>
    <mergeCell ref="N135:P135"/>
    <mergeCell ref="R135:T135"/>
  </mergeCell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A7D7B-E5A9-407C-807D-0062A2F949D9}">
  <sheetPr codeName="Sheet3"/>
  <dimension ref="A2:M58"/>
  <sheetViews>
    <sheetView showGridLines="0" zoomScaleNormal="100" workbookViewId="0">
      <selection activeCell="B11" sqref="B11"/>
    </sheetView>
  </sheetViews>
  <sheetFormatPr defaultRowHeight="15" x14ac:dyDescent="0.25"/>
  <cols>
    <col min="1" max="1" width="58.5703125" customWidth="1"/>
    <col min="2" max="2" width="12.42578125" bestFit="1" customWidth="1"/>
    <col min="3" max="3" width="18.5703125" customWidth="1"/>
    <col min="4" max="4" width="12.42578125" hidden="1" customWidth="1"/>
    <col min="5" max="5" width="12.42578125" customWidth="1"/>
    <col min="6" max="6" width="16.85546875" customWidth="1"/>
    <col min="7" max="7" width="10.5703125" bestFit="1" customWidth="1"/>
    <col min="8" max="8" width="9.42578125" customWidth="1"/>
    <col min="9" max="9" width="12.42578125" bestFit="1" customWidth="1"/>
    <col min="10" max="10" width="10.42578125" bestFit="1" customWidth="1"/>
    <col min="11" max="11" width="12.42578125" bestFit="1" customWidth="1"/>
    <col min="12" max="12" width="10.5703125" bestFit="1" customWidth="1"/>
    <col min="13" max="13" width="10.42578125" bestFit="1" customWidth="1"/>
    <col min="14" max="14" width="12.42578125" bestFit="1" customWidth="1"/>
  </cols>
  <sheetData>
    <row r="2" spans="1:13" x14ac:dyDescent="0.25">
      <c r="A2" s="109" t="s">
        <v>53</v>
      </c>
      <c r="B2" s="110"/>
      <c r="C2" s="110"/>
      <c r="D2" s="110"/>
      <c r="E2" s="110"/>
      <c r="F2" s="110"/>
      <c r="G2" s="110"/>
    </row>
    <row r="4" spans="1:13" x14ac:dyDescent="0.25">
      <c r="A4" s="105" t="s">
        <v>99</v>
      </c>
      <c r="B4" s="105"/>
      <c r="C4" s="105"/>
      <c r="D4" s="105"/>
      <c r="E4" s="105"/>
      <c r="F4" s="105"/>
      <c r="G4" s="105"/>
    </row>
    <row r="6" spans="1:13" x14ac:dyDescent="0.25">
      <c r="A6" s="5" t="s">
        <v>75</v>
      </c>
      <c r="B6" s="41">
        <v>37.5</v>
      </c>
      <c r="C6" s="24"/>
    </row>
    <row r="7" spans="1:13" x14ac:dyDescent="0.25">
      <c r="A7" s="5" t="s">
        <v>3</v>
      </c>
      <c r="B7" s="41">
        <v>15</v>
      </c>
      <c r="E7" s="5" t="s">
        <v>18</v>
      </c>
      <c r="F7" s="5"/>
      <c r="G7" s="5">
        <f>'Stage 1'!C55</f>
        <v>0</v>
      </c>
    </row>
    <row r="8" spans="1:13" ht="12.95" customHeight="1" x14ac:dyDescent="0.25"/>
    <row r="9" spans="1:13" x14ac:dyDescent="0.25">
      <c r="A9" s="106" t="s">
        <v>1</v>
      </c>
      <c r="B9" s="107"/>
      <c r="C9" s="107"/>
      <c r="D9" s="107"/>
      <c r="E9" s="107"/>
      <c r="F9" s="108"/>
    </row>
    <row r="10" spans="1:13" ht="60" x14ac:dyDescent="0.25">
      <c r="A10" s="15" t="s">
        <v>55</v>
      </c>
      <c r="B10" s="15" t="s">
        <v>56</v>
      </c>
      <c r="C10" s="15" t="s">
        <v>2</v>
      </c>
      <c r="D10" s="15" t="s">
        <v>54</v>
      </c>
      <c r="E10" s="15" t="s">
        <v>0</v>
      </c>
      <c r="F10" s="15" t="s">
        <v>8</v>
      </c>
      <c r="L10" s="28" t="s">
        <v>76</v>
      </c>
      <c r="M10" s="43">
        <v>20</v>
      </c>
    </row>
    <row r="11" spans="1:13" x14ac:dyDescent="0.25">
      <c r="A11" s="41"/>
      <c r="B11" s="41"/>
      <c r="C11" s="41"/>
      <c r="D11" s="41">
        <v>5</v>
      </c>
      <c r="E11" s="15">
        <f>B11*$B$6</f>
        <v>0</v>
      </c>
      <c r="F11" s="15">
        <f t="shared" ref="F11:F30" si="0">B11*(C11*D11)</f>
        <v>0</v>
      </c>
      <c r="G11" s="7"/>
      <c r="H11" s="8"/>
      <c r="I11" s="8"/>
    </row>
    <row r="12" spans="1:13" x14ac:dyDescent="0.25">
      <c r="A12" s="41"/>
      <c r="B12" s="41"/>
      <c r="C12" s="41"/>
      <c r="D12" s="41">
        <v>5</v>
      </c>
      <c r="E12" s="15">
        <f t="shared" ref="E12:E27" si="1">B12*$B$6</f>
        <v>0</v>
      </c>
      <c r="F12" s="15">
        <f t="shared" si="0"/>
        <v>0</v>
      </c>
      <c r="G12" s="7"/>
      <c r="H12" s="8"/>
      <c r="I12" s="8"/>
    </row>
    <row r="13" spans="1:13" x14ac:dyDescent="0.25">
      <c r="A13" s="41"/>
      <c r="B13" s="41"/>
      <c r="C13" s="41"/>
      <c r="D13" s="41">
        <v>5</v>
      </c>
      <c r="E13" s="15">
        <f t="shared" si="1"/>
        <v>0</v>
      </c>
      <c r="F13" s="15">
        <f t="shared" si="0"/>
        <v>0</v>
      </c>
      <c r="G13" s="7"/>
      <c r="H13" s="8"/>
      <c r="I13" s="8"/>
    </row>
    <row r="14" spans="1:13" x14ac:dyDescent="0.25">
      <c r="A14" s="41"/>
      <c r="B14" s="41"/>
      <c r="C14" s="41"/>
      <c r="D14" s="41">
        <v>5</v>
      </c>
      <c r="E14" s="15">
        <f t="shared" si="1"/>
        <v>0</v>
      </c>
      <c r="F14" s="15">
        <f t="shared" si="0"/>
        <v>0</v>
      </c>
      <c r="G14" s="7"/>
      <c r="H14" s="8"/>
      <c r="I14" s="8"/>
    </row>
    <row r="15" spans="1:13" x14ac:dyDescent="0.25">
      <c r="A15" s="41"/>
      <c r="B15" s="41"/>
      <c r="C15" s="41"/>
      <c r="D15" s="41">
        <v>5</v>
      </c>
      <c r="E15" s="15">
        <f t="shared" si="1"/>
        <v>0</v>
      </c>
      <c r="F15" s="15">
        <f t="shared" si="0"/>
        <v>0</v>
      </c>
      <c r="G15" s="7"/>
      <c r="H15" s="8"/>
      <c r="I15" s="8"/>
    </row>
    <row r="16" spans="1:13" x14ac:dyDescent="0.25">
      <c r="A16" s="41"/>
      <c r="B16" s="41"/>
      <c r="C16" s="41"/>
      <c r="D16" s="41">
        <v>5</v>
      </c>
      <c r="E16" s="15">
        <f t="shared" si="1"/>
        <v>0</v>
      </c>
      <c r="F16" s="15">
        <f t="shared" si="0"/>
        <v>0</v>
      </c>
      <c r="G16" s="7"/>
      <c r="H16" s="8"/>
      <c r="I16" s="8"/>
    </row>
    <row r="17" spans="1:9" x14ac:dyDescent="0.25">
      <c r="A17" s="41"/>
      <c r="B17" s="41"/>
      <c r="C17" s="41"/>
      <c r="D17" s="41">
        <v>5</v>
      </c>
      <c r="E17" s="15">
        <f t="shared" si="1"/>
        <v>0</v>
      </c>
      <c r="F17" s="15">
        <f t="shared" si="0"/>
        <v>0</v>
      </c>
      <c r="G17" s="7"/>
      <c r="H17" s="8"/>
      <c r="I17" s="8"/>
    </row>
    <row r="18" spans="1:9" x14ac:dyDescent="0.25">
      <c r="A18" s="41"/>
      <c r="B18" s="41"/>
      <c r="C18" s="41"/>
      <c r="D18" s="41">
        <v>5</v>
      </c>
      <c r="E18" s="15">
        <f t="shared" si="1"/>
        <v>0</v>
      </c>
      <c r="F18" s="15">
        <f t="shared" si="0"/>
        <v>0</v>
      </c>
      <c r="G18" s="7"/>
      <c r="H18" s="8"/>
      <c r="I18" s="8"/>
    </row>
    <row r="19" spans="1:9" x14ac:dyDescent="0.25">
      <c r="A19" s="41"/>
      <c r="B19" s="41"/>
      <c r="C19" s="41"/>
      <c r="D19" s="41">
        <v>5</v>
      </c>
      <c r="E19" s="15">
        <f t="shared" si="1"/>
        <v>0</v>
      </c>
      <c r="F19" s="15">
        <f t="shared" si="0"/>
        <v>0</v>
      </c>
      <c r="G19" s="7"/>
      <c r="H19" s="8"/>
      <c r="I19" s="8"/>
    </row>
    <row r="20" spans="1:9" x14ac:dyDescent="0.25">
      <c r="A20" s="41"/>
      <c r="B20" s="41"/>
      <c r="C20" s="41"/>
      <c r="D20" s="41">
        <v>5</v>
      </c>
      <c r="E20" s="15">
        <f t="shared" ref="E20:E25" si="2">B20*$B$6</f>
        <v>0</v>
      </c>
      <c r="F20" s="15">
        <f t="shared" ref="F20:F25" si="3">B20*(C20*D20)</f>
        <v>0</v>
      </c>
      <c r="G20" s="7"/>
      <c r="H20" s="8"/>
      <c r="I20" s="8"/>
    </row>
    <row r="21" spans="1:9" x14ac:dyDescent="0.25">
      <c r="A21" s="41"/>
      <c r="B21" s="41"/>
      <c r="C21" s="41"/>
      <c r="D21" s="41">
        <v>5</v>
      </c>
      <c r="E21" s="15">
        <f t="shared" si="2"/>
        <v>0</v>
      </c>
      <c r="F21" s="15">
        <f t="shared" si="3"/>
        <v>0</v>
      </c>
      <c r="G21" s="7"/>
      <c r="H21" s="8"/>
      <c r="I21" s="8"/>
    </row>
    <row r="22" spans="1:9" x14ac:dyDescent="0.25">
      <c r="A22" s="41"/>
      <c r="B22" s="41"/>
      <c r="C22" s="41"/>
      <c r="D22" s="41">
        <v>5</v>
      </c>
      <c r="E22" s="15">
        <f t="shared" si="2"/>
        <v>0</v>
      </c>
      <c r="F22" s="15">
        <f t="shared" si="3"/>
        <v>0</v>
      </c>
      <c r="G22" s="7"/>
      <c r="H22" s="8"/>
      <c r="I22" s="8"/>
    </row>
    <row r="23" spans="1:9" x14ac:dyDescent="0.25">
      <c r="A23" s="41"/>
      <c r="B23" s="41"/>
      <c r="C23" s="41"/>
      <c r="D23" s="41">
        <v>5</v>
      </c>
      <c r="E23" s="15">
        <f t="shared" si="2"/>
        <v>0</v>
      </c>
      <c r="F23" s="15">
        <f t="shared" si="3"/>
        <v>0</v>
      </c>
      <c r="G23" s="7"/>
      <c r="H23" s="8"/>
      <c r="I23" s="8"/>
    </row>
    <row r="24" spans="1:9" x14ac:dyDescent="0.25">
      <c r="A24" s="41"/>
      <c r="B24" s="41"/>
      <c r="C24" s="41"/>
      <c r="D24" s="41">
        <v>5</v>
      </c>
      <c r="E24" s="15">
        <f t="shared" si="2"/>
        <v>0</v>
      </c>
      <c r="F24" s="15">
        <f t="shared" si="3"/>
        <v>0</v>
      </c>
      <c r="G24" s="7"/>
      <c r="H24" s="8"/>
      <c r="I24" s="8"/>
    </row>
    <row r="25" spans="1:9" x14ac:dyDescent="0.25">
      <c r="A25" s="41"/>
      <c r="B25" s="41"/>
      <c r="C25" s="41"/>
      <c r="D25" s="41">
        <v>5</v>
      </c>
      <c r="E25" s="15">
        <f t="shared" si="2"/>
        <v>0</v>
      </c>
      <c r="F25" s="15">
        <f t="shared" si="3"/>
        <v>0</v>
      </c>
      <c r="G25" s="7"/>
      <c r="H25" s="8"/>
      <c r="I25" s="8"/>
    </row>
    <row r="26" spans="1:9" x14ac:dyDescent="0.25">
      <c r="A26" s="41"/>
      <c r="B26" s="41"/>
      <c r="C26" s="41"/>
      <c r="D26" s="41">
        <v>5</v>
      </c>
      <c r="E26" s="15">
        <f t="shared" si="1"/>
        <v>0</v>
      </c>
      <c r="F26" s="15">
        <f t="shared" si="0"/>
        <v>0</v>
      </c>
      <c r="G26" s="7"/>
      <c r="H26" s="8"/>
      <c r="I26" s="8"/>
    </row>
    <row r="27" spans="1:9" x14ac:dyDescent="0.25">
      <c r="A27" s="41"/>
      <c r="B27" s="41"/>
      <c r="C27" s="41"/>
      <c r="D27" s="41">
        <v>5</v>
      </c>
      <c r="E27" s="15">
        <f t="shared" si="1"/>
        <v>0</v>
      </c>
      <c r="F27" s="15">
        <f t="shared" si="0"/>
        <v>0</v>
      </c>
      <c r="G27" s="7"/>
      <c r="H27" s="8"/>
      <c r="I27" s="8"/>
    </row>
    <row r="28" spans="1:9" x14ac:dyDescent="0.25">
      <c r="A28" s="41"/>
      <c r="B28" s="41"/>
      <c r="C28" s="41"/>
      <c r="D28" s="41">
        <v>5</v>
      </c>
      <c r="E28" s="15">
        <f t="shared" ref="E28:E30" si="4">B28*$B$6</f>
        <v>0</v>
      </c>
      <c r="F28" s="15">
        <f t="shared" si="0"/>
        <v>0</v>
      </c>
      <c r="G28" s="7"/>
      <c r="H28" s="8"/>
      <c r="I28" s="8"/>
    </row>
    <row r="29" spans="1:9" x14ac:dyDescent="0.25">
      <c r="A29" s="41"/>
      <c r="B29" s="41"/>
      <c r="C29" s="41"/>
      <c r="D29" s="41">
        <v>5</v>
      </c>
      <c r="E29" s="15">
        <f t="shared" si="4"/>
        <v>0</v>
      </c>
      <c r="F29" s="15">
        <f t="shared" si="0"/>
        <v>0</v>
      </c>
      <c r="G29" s="7"/>
      <c r="H29" s="8"/>
      <c r="I29" s="8"/>
    </row>
    <row r="30" spans="1:9" x14ac:dyDescent="0.25">
      <c r="A30" s="41"/>
      <c r="B30" s="41"/>
      <c r="C30" s="41"/>
      <c r="D30" s="41">
        <v>5</v>
      </c>
      <c r="E30" s="15">
        <f t="shared" si="4"/>
        <v>0</v>
      </c>
      <c r="F30" s="15">
        <f t="shared" si="0"/>
        <v>0</v>
      </c>
      <c r="G30" s="7"/>
      <c r="H30" s="8"/>
      <c r="I30" s="8"/>
    </row>
    <row r="31" spans="1:9" x14ac:dyDescent="0.25">
      <c r="B31" s="2"/>
      <c r="C31" s="3"/>
      <c r="D31" s="3"/>
      <c r="E31" s="3"/>
      <c r="F31" s="2"/>
      <c r="G31" s="4"/>
      <c r="H31" s="4"/>
      <c r="I31" s="4"/>
    </row>
    <row r="32" spans="1:9" x14ac:dyDescent="0.25">
      <c r="A32" s="16" t="s">
        <v>6</v>
      </c>
      <c r="B32" s="15">
        <f>SUM(F11:F30)</f>
        <v>0</v>
      </c>
      <c r="C32" s="1"/>
      <c r="D32" s="1"/>
      <c r="E32" s="1"/>
    </row>
    <row r="34" spans="1:7" ht="30" x14ac:dyDescent="0.25">
      <c r="A34" s="16" t="s">
        <v>27</v>
      </c>
      <c r="B34" s="16" t="s">
        <v>30</v>
      </c>
    </row>
    <row r="35" spans="1:7" x14ac:dyDescent="0.25">
      <c r="A35" s="16" t="s">
        <v>28</v>
      </c>
      <c r="B35" s="42"/>
      <c r="E35" s="44" t="s">
        <v>18</v>
      </c>
      <c r="F35" s="45"/>
      <c r="G35" s="19">
        <f>'Stage 1'!E37</f>
        <v>0</v>
      </c>
    </row>
    <row r="36" spans="1:7" x14ac:dyDescent="0.25">
      <c r="A36" s="16" t="s">
        <v>29</v>
      </c>
      <c r="B36" s="42"/>
      <c r="E36" s="44" t="s">
        <v>18</v>
      </c>
      <c r="F36" s="45"/>
      <c r="G36" s="19">
        <f>'Stage 1'!E38</f>
        <v>0</v>
      </c>
    </row>
    <row r="37" spans="1:7" x14ac:dyDescent="0.25">
      <c r="A37" s="16" t="s">
        <v>47</v>
      </c>
      <c r="B37" s="42"/>
      <c r="E37" s="44" t="s">
        <v>18</v>
      </c>
      <c r="F37" s="45"/>
      <c r="G37" s="19">
        <f>'Stage 1'!E39</f>
        <v>0</v>
      </c>
    </row>
    <row r="39" spans="1:7" x14ac:dyDescent="0.25">
      <c r="A39" s="16" t="s">
        <v>31</v>
      </c>
      <c r="B39" s="15">
        <f>B32-(B32*SUM(B35:B37))</f>
        <v>0</v>
      </c>
    </row>
    <row r="40" spans="1:7" x14ac:dyDescent="0.25">
      <c r="A40" s="16" t="s">
        <v>5</v>
      </c>
      <c r="B40" s="15">
        <f>B39/B7*60</f>
        <v>0</v>
      </c>
      <c r="C40" s="1"/>
      <c r="E40" s="1"/>
      <c r="F40" s="1"/>
    </row>
    <row r="41" spans="1:7" x14ac:dyDescent="0.25">
      <c r="A41" s="9"/>
      <c r="B41" s="2"/>
      <c r="C41" s="1"/>
      <c r="E41" s="1"/>
      <c r="F41" s="1"/>
    </row>
    <row r="42" spans="1:7" x14ac:dyDescent="0.25">
      <c r="A42" s="5" t="s">
        <v>32</v>
      </c>
      <c r="B42" s="2"/>
      <c r="C42" s="1"/>
      <c r="E42" s="1"/>
      <c r="F42" s="1"/>
    </row>
    <row r="43" spans="1:7" x14ac:dyDescent="0.25">
      <c r="A43" s="5" t="s">
        <v>10</v>
      </c>
      <c r="B43" s="41"/>
      <c r="C43" s="1"/>
      <c r="E43" s="44" t="s">
        <v>18</v>
      </c>
      <c r="F43" s="45"/>
      <c r="G43" s="5">
        <f>'Stage 1'!B74</f>
        <v>0</v>
      </c>
    </row>
    <row r="44" spans="1:7" x14ac:dyDescent="0.25">
      <c r="A44" s="5" t="s">
        <v>72</v>
      </c>
      <c r="B44" s="41"/>
      <c r="C44" s="1"/>
      <c r="E44" s="44" t="s">
        <v>18</v>
      </c>
      <c r="F44" s="45"/>
      <c r="G44" s="5">
        <f>'Stage 1'!B75</f>
        <v>0</v>
      </c>
    </row>
    <row r="45" spans="1:7" ht="12.95" customHeight="1" x14ac:dyDescent="0.25">
      <c r="A45" s="6"/>
    </row>
    <row r="46" spans="1:7" ht="12.95" customHeight="1" x14ac:dyDescent="0.25">
      <c r="A46" s="5" t="s">
        <v>7</v>
      </c>
      <c r="B46" s="41"/>
      <c r="E46" s="44" t="s">
        <v>18</v>
      </c>
      <c r="F46" s="45"/>
      <c r="G46" s="5">
        <f>'Stage 1'!D94</f>
        <v>0</v>
      </c>
    </row>
    <row r="47" spans="1:7" ht="12.95" customHeight="1" x14ac:dyDescent="0.25">
      <c r="A47" s="5" t="s">
        <v>73</v>
      </c>
      <c r="B47" s="41"/>
      <c r="E47" s="44" t="s">
        <v>18</v>
      </c>
      <c r="F47" s="45"/>
      <c r="G47" s="5">
        <f>'Stage 1'!D95</f>
        <v>0</v>
      </c>
    </row>
    <row r="48" spans="1:7" ht="12.95" customHeight="1" x14ac:dyDescent="0.25"/>
    <row r="49" spans="1:7" ht="12.95" customHeight="1" x14ac:dyDescent="0.25">
      <c r="A49" s="5" t="s">
        <v>74</v>
      </c>
    </row>
    <row r="50" spans="1:7" x14ac:dyDescent="0.25">
      <c r="A50" s="5" t="s">
        <v>33</v>
      </c>
      <c r="B50" s="41"/>
      <c r="C50" s="1"/>
      <c r="E50" s="44" t="s">
        <v>18</v>
      </c>
      <c r="F50" s="45"/>
      <c r="G50" s="5">
        <f>'Stage 1'!D133</f>
        <v>0</v>
      </c>
    </row>
    <row r="51" spans="1:7" x14ac:dyDescent="0.25">
      <c r="A51" s="5" t="s">
        <v>34</v>
      </c>
      <c r="B51" s="41"/>
      <c r="E51" s="44" t="s">
        <v>18</v>
      </c>
      <c r="F51" s="45"/>
      <c r="G51" s="5">
        <f>'Stage 1'!D134</f>
        <v>0</v>
      </c>
    </row>
    <row r="52" spans="1:7" x14ac:dyDescent="0.25">
      <c r="A52" s="5" t="s">
        <v>35</v>
      </c>
      <c r="B52" s="41"/>
      <c r="E52" s="44" t="s">
        <v>18</v>
      </c>
      <c r="F52" s="45"/>
      <c r="G52" s="5">
        <f>'Stage 1'!D135</f>
        <v>0</v>
      </c>
    </row>
    <row r="54" spans="1:7" x14ac:dyDescent="0.25">
      <c r="A54" s="5" t="s">
        <v>69</v>
      </c>
      <c r="B54" s="15">
        <f>B52*B51*B50</f>
        <v>0</v>
      </c>
    </row>
    <row r="55" spans="1:7" x14ac:dyDescent="0.25">
      <c r="A55" s="5" t="s">
        <v>70</v>
      </c>
      <c r="B55" s="15">
        <f>B54/B7</f>
        <v>0</v>
      </c>
    </row>
    <row r="57" spans="1:7" x14ac:dyDescent="0.25">
      <c r="A57" s="5" t="s">
        <v>26</v>
      </c>
      <c r="B57" s="15">
        <f>(B43*B46)+(B44*B47)+B55</f>
        <v>0</v>
      </c>
    </row>
    <row r="58" spans="1:7" x14ac:dyDescent="0.25">
      <c r="A58" s="5" t="s">
        <v>4</v>
      </c>
      <c r="B58" s="15">
        <f>B40-B57</f>
        <v>0</v>
      </c>
    </row>
  </sheetData>
  <sheetProtection algorithmName="SHA-512" hashValue="LoSAROqE5WR5oBTr2weTPDCbCoYYTBDO9CHXdeqhPjbO5oTcIOI6HwCQQu4My2lA4BfhlX78gp6Ij0ywqEJ+EA==" saltValue="954BV6mZ0DP/7+2Wh8/MxA==" spinCount="100000" sheet="1" objects="1" scenarios="1" formatRows="0" insertColumns="0"/>
  <mergeCells count="3">
    <mergeCell ref="A4:G4"/>
    <mergeCell ref="A9:F9"/>
    <mergeCell ref="A2:G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apacity_Line_Add">
                <anchor moveWithCells="1" sizeWithCells="1">
                  <from>
                    <xdr:col>6</xdr:col>
                    <xdr:colOff>752475</xdr:colOff>
                    <xdr:row>8</xdr:row>
                    <xdr:rowOff>104775</xdr:rowOff>
                  </from>
                  <to>
                    <xdr:col>8</xdr:col>
                    <xdr:colOff>200025</xdr:colOff>
                    <xdr:row>9</xdr:row>
                    <xdr:rowOff>523875</xdr:rowOff>
                  </to>
                </anchor>
              </controlPr>
            </control>
          </mc:Choice>
        </mc:AlternateContent>
        <mc:AlternateContent xmlns:mc="http://schemas.openxmlformats.org/markup-compatibility/2006">
          <mc:Choice Requires="x14">
            <control shapeId="1026" r:id="rId5" name="Button 2">
              <controlPr defaultSize="0" print="0" autoFill="0" autoPict="0" macro="[0]!Capacity_Line_Remove">
                <anchor moveWithCells="1" sizeWithCells="1">
                  <from>
                    <xdr:col>8</xdr:col>
                    <xdr:colOff>276225</xdr:colOff>
                    <xdr:row>8</xdr:row>
                    <xdr:rowOff>85725</xdr:rowOff>
                  </from>
                  <to>
                    <xdr:col>9</xdr:col>
                    <xdr:colOff>276225</xdr:colOff>
                    <xdr:row>9</xdr:row>
                    <xdr:rowOff>504825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2A33-9A4C-4A28-B017-0ED03B566CD1}">
  <sheetPr codeName="Sheet4"/>
  <dimension ref="A2:G8"/>
  <sheetViews>
    <sheetView showGridLines="0" zoomScaleNormal="100" workbookViewId="0">
      <selection activeCell="B6" sqref="B6"/>
    </sheetView>
  </sheetViews>
  <sheetFormatPr defaultRowHeight="15" x14ac:dyDescent="0.25"/>
  <cols>
    <col min="1" max="1" width="45.85546875" bestFit="1" customWidth="1"/>
    <col min="2" max="2" width="10.5703125" bestFit="1" customWidth="1"/>
    <col min="3" max="3" width="33" bestFit="1" customWidth="1"/>
    <col min="6" max="6" width="16.140625" customWidth="1"/>
  </cols>
  <sheetData>
    <row r="2" spans="1:7" x14ac:dyDescent="0.25">
      <c r="A2" s="113" t="s">
        <v>57</v>
      </c>
      <c r="B2" s="113"/>
      <c r="C2" s="113"/>
      <c r="D2" s="113"/>
      <c r="E2" s="113"/>
      <c r="F2" s="113"/>
      <c r="G2" s="113"/>
    </row>
    <row r="4" spans="1:7" x14ac:dyDescent="0.25">
      <c r="A4" s="5" t="s">
        <v>9</v>
      </c>
      <c r="B4" s="5">
        <f>'Stage 2'!B58</f>
        <v>0</v>
      </c>
    </row>
    <row r="6" spans="1:7" x14ac:dyDescent="0.25">
      <c r="A6" s="5" t="s">
        <v>50</v>
      </c>
      <c r="B6" s="41"/>
      <c r="E6" s="111" t="s">
        <v>18</v>
      </c>
      <c r="F6" s="112"/>
      <c r="G6" s="5">
        <f>'Stage 1'!D114</f>
        <v>0</v>
      </c>
    </row>
    <row r="8" spans="1:7" x14ac:dyDescent="0.25">
      <c r="A8" s="5" t="s">
        <v>51</v>
      </c>
      <c r="B8" s="10" t="e">
        <f>B4/B6</f>
        <v>#DIV/0!</v>
      </c>
    </row>
  </sheetData>
  <sheetProtection algorithmName="SHA-512" hashValue="2gywxK2oehlRJ0m6gEchN2z0ROLUSYkU0L+F2BhJMN1qf6IV8CsCcIf5zbwRypUcrnMcBD+d5P8aHic5FTYk1Q==" saltValue="jghw01k4gNrZ9oGl/uB55Q==" spinCount="100000" sheet="1" objects="1" scenarios="1"/>
  <mergeCells count="2">
    <mergeCell ref="E6:F6"/>
    <mergeCell ref="A2:G2"/>
  </mergeCell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Version Control</vt:lpstr>
      <vt:lpstr>Intro &amp; Notes</vt:lpstr>
      <vt:lpstr>Stage 1</vt:lpstr>
      <vt:lpstr>Stage 2</vt:lpstr>
      <vt:lpstr>Stage 3</vt:lpstr>
      <vt:lpstr>CapacityCount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Wendy Rees</dc:creator>
  <cp:lastModifiedBy>Keith Khunpha</cp:lastModifiedBy>
  <dcterms:created xsi:type="dcterms:W3CDTF">2020-03-03T12:46:07Z</dcterms:created>
  <dcterms:modified xsi:type="dcterms:W3CDTF">2023-08-15T12:26:14Z</dcterms:modified>
</cp:coreProperties>
</file>