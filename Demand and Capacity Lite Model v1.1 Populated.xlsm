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ims.gov.uk\HomeDrive\Users\MBytheway\Data\Desktop\"/>
    </mc:Choice>
  </mc:AlternateContent>
  <xr:revisionPtr revIDLastSave="0" documentId="13_ncr:1_{1C5B73EE-C137-4DF9-9484-BC96E85B1E93}" xr6:coauthVersionLast="47" xr6:coauthVersionMax="47" xr10:uidLastSave="{00000000-0000-0000-0000-000000000000}"/>
  <bookViews>
    <workbookView xWindow="-120" yWindow="-120" windowWidth="23280" windowHeight="15000" tabRatio="717" firstSheet="1" activeTab="1" xr2:uid="{00000000-000D-0000-FFFF-FFFF00000000}"/>
  </bookViews>
  <sheets>
    <sheet name="Version Control" sheetId="27" state="hidden" r:id="rId1"/>
    <sheet name="Intro &amp; Notes" sheetId="26" r:id="rId2"/>
    <sheet name="Stage 1" sheetId="24" r:id="rId3"/>
    <sheet name="Stage 2" sheetId="18" r:id="rId4"/>
    <sheet name="Stage 3" sheetId="25" r:id="rId5"/>
  </sheets>
  <definedNames>
    <definedName name="CapacityCount">'Stage 2'!$M$10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0" i="18" l="1"/>
  <c r="G6" i="25"/>
  <c r="E20" i="18" l="1"/>
  <c r="F20" i="18"/>
  <c r="E21" i="18"/>
  <c r="F21" i="18"/>
  <c r="E22" i="18"/>
  <c r="F22" i="18"/>
  <c r="E23" i="18"/>
  <c r="F23" i="18"/>
  <c r="E24" i="18"/>
  <c r="F24" i="18"/>
  <c r="E25" i="18"/>
  <c r="F25" i="18"/>
  <c r="F12" i="18"/>
  <c r="F13" i="18"/>
  <c r="F14" i="18"/>
  <c r="F15" i="18"/>
  <c r="F16" i="18"/>
  <c r="F17" i="18"/>
  <c r="F18" i="18"/>
  <c r="F19" i="18"/>
  <c r="F26" i="18"/>
  <c r="F27" i="18"/>
  <c r="E12" i="18"/>
  <c r="E13" i="18"/>
  <c r="E14" i="18"/>
  <c r="E15" i="18"/>
  <c r="E16" i="18"/>
  <c r="E17" i="18"/>
  <c r="E18" i="18"/>
  <c r="E19" i="18"/>
  <c r="E26" i="18"/>
  <c r="E27" i="18"/>
  <c r="B54" i="18"/>
  <c r="B55" i="18" s="1"/>
  <c r="B57" i="18" s="1"/>
  <c r="F52" i="18"/>
  <c r="F51" i="18"/>
  <c r="F47" i="18"/>
  <c r="F46" i="18"/>
  <c r="F44" i="18"/>
  <c r="F43" i="18"/>
  <c r="F37" i="18"/>
  <c r="F36" i="18"/>
  <c r="F35" i="18"/>
  <c r="F30" i="18"/>
  <c r="E30" i="18"/>
  <c r="F29" i="18"/>
  <c r="E29" i="18"/>
  <c r="F28" i="18"/>
  <c r="E28" i="18"/>
  <c r="F11" i="18"/>
  <c r="E11" i="18"/>
  <c r="F7" i="18"/>
  <c r="B32" i="18" l="1"/>
  <c r="B39" i="18" s="1"/>
  <c r="B40" i="18" s="1"/>
  <c r="B58" i="18" s="1"/>
  <c r="B4" i="25" l="1"/>
  <c r="B8" i="25" s="1"/>
</calcChain>
</file>

<file path=xl/sharedStrings.xml><?xml version="1.0" encoding="utf-8"?>
<sst xmlns="http://schemas.openxmlformats.org/spreadsheetml/2006/main" count="164" uniqueCount="116">
  <si>
    <t>Total Hours</t>
  </si>
  <si>
    <t xml:space="preserve">Time Available </t>
  </si>
  <si>
    <t>Patient facing time / day (hours)</t>
  </si>
  <si>
    <t>Minutes per unit:</t>
  </si>
  <si>
    <t>Remaining capacity for new patients (units):</t>
  </si>
  <si>
    <t>Total units available:</t>
  </si>
  <si>
    <t>Total patient facing &amp; related hours:</t>
  </si>
  <si>
    <t>Current patient requirements - visits (units):</t>
  </si>
  <si>
    <t>Total patient facing time (hours)</t>
  </si>
  <si>
    <t>Capacity remaining for new patients (units):</t>
  </si>
  <si>
    <t>Current Patients requiring visits (patients):</t>
  </si>
  <si>
    <t>Thinking about your service, how can one 'unit' be described?</t>
  </si>
  <si>
    <t>One unit is equal to:</t>
  </si>
  <si>
    <t>minutes</t>
  </si>
  <si>
    <t>Thinking about your service, how will you calculate the current caseload size?</t>
  </si>
  <si>
    <t xml:space="preserve">We have </t>
  </si>
  <si>
    <t>current patients that will require a face to face visit</t>
  </si>
  <si>
    <t>current patients that will require remote support</t>
  </si>
  <si>
    <t>From Stage 1 assumptions:</t>
  </si>
  <si>
    <t>Thinking about your service, how will you calculate the current caseload unit requirement?</t>
  </si>
  <si>
    <t>Our current patients will require</t>
  </si>
  <si>
    <t>units for a face to face visit</t>
  </si>
  <si>
    <t>units for remote support</t>
  </si>
  <si>
    <r>
      <t xml:space="preserve">New Patient Time Requirement Assumptions
</t>
    </r>
    <r>
      <rPr>
        <sz val="11"/>
        <color theme="1"/>
        <rFont val="Calibri"/>
        <family val="2"/>
        <scheme val="minor"/>
      </rPr>
      <t>Similarly to patients currently on the caseload, we can then see how many new patients the service can see given the current caseload and the capacity available. 
This will depend on the number of units a new patient will use when joining the service, and can be different for face to face and remote support. As before, only patient facing time should be considered in calculating the number of units for these visits.</t>
    </r>
  </si>
  <si>
    <t>Thinking about your service, how will you calculate the new patient unit requirement?</t>
  </si>
  <si>
    <t>Our new patients will require</t>
  </si>
  <si>
    <t>Total units required for current patients:</t>
  </si>
  <si>
    <t>Time Availability Reduction</t>
  </si>
  <si>
    <t>Annual Leave</t>
  </si>
  <si>
    <t>Training/Teaching</t>
  </si>
  <si>
    <t>% Reduction:</t>
  </si>
  <si>
    <t>Total patient facing &amp; related hours (reduced):</t>
  </si>
  <si>
    <t>One to One Sessions</t>
  </si>
  <si>
    <t>Number of Group Sessions</t>
  </si>
  <si>
    <t>Staff required</t>
  </si>
  <si>
    <t>Duration</t>
  </si>
  <si>
    <t xml:space="preserve">Our patient facing time should be reduced by </t>
  </si>
  <si>
    <t>to account for annual leave</t>
  </si>
  <si>
    <t>to account for training/teaching</t>
  </si>
  <si>
    <t>to account for other reasons</t>
  </si>
  <si>
    <t>Thinking about your service, how are group sessions run?</t>
  </si>
  <si>
    <t>Each group session will require</t>
  </si>
  <si>
    <t>Each group session will take</t>
  </si>
  <si>
    <t>group sessions in a week</t>
  </si>
  <si>
    <t>members of staff</t>
  </si>
  <si>
    <t xml:space="preserve">Your service will run </t>
  </si>
  <si>
    <t>minutes to run</t>
  </si>
  <si>
    <t>Other (sickness and maternity leave)</t>
  </si>
  <si>
    <r>
      <t xml:space="preserve">Current Caseload Assumptions
</t>
    </r>
    <r>
      <rPr>
        <sz val="11"/>
        <color theme="1"/>
        <rFont val="Calibri"/>
        <family val="2"/>
        <scheme val="minor"/>
      </rPr>
      <t>To understand the balance of demand and capacity, we need to consider clients that are already on the caseload and requiring interaction with the service. It may be useful to use either the current caseload as a good predictor of the caseload next week, or a representative caseload size from a previous week if that is a better predictor.</t>
    </r>
    <r>
      <rPr>
        <b/>
        <sz val="11"/>
        <color theme="1"/>
        <rFont val="Calibri"/>
        <family val="2"/>
        <scheme val="minor"/>
      </rPr>
      <t xml:space="preserve"> 
</t>
    </r>
    <r>
      <rPr>
        <sz val="11"/>
        <color theme="1"/>
        <rFont val="Calibri"/>
        <family val="2"/>
        <scheme val="minor"/>
      </rPr>
      <t>The caseload should also be split into those that require a face-to-face clinical session, and those that will be managed via a remote consultation.</t>
    </r>
  </si>
  <si>
    <r>
      <t xml:space="preserve">Current Caseload Time Requirement Assumptions
</t>
    </r>
    <r>
      <rPr>
        <sz val="11"/>
        <color theme="1"/>
        <rFont val="Calibri"/>
        <family val="2"/>
        <scheme val="minor"/>
      </rPr>
      <t xml:space="preserve">To turn the outputs of the model into useable information, we calculate the unit requirement for the caseload. The first assumption that needs to be made is how many units are required for each current patient on the caseload. </t>
    </r>
    <r>
      <rPr>
        <b/>
        <sz val="11"/>
        <color theme="1"/>
        <rFont val="Calibri"/>
        <family val="2"/>
        <scheme val="minor"/>
      </rPr>
      <t xml:space="preserve">
</t>
    </r>
    <r>
      <rPr>
        <sz val="11"/>
        <color theme="1"/>
        <rFont val="Calibri"/>
        <family val="2"/>
        <scheme val="minor"/>
      </rPr>
      <t>When considering the time requirement for each patient on the existing caseload, it's important to make sure you are considering only the activities that fit under patient facing time. If, for example, you are not considering travel time in patient facing time, you should not consider it when calculating the number of units each current patient requires.</t>
    </r>
  </si>
  <si>
    <t>New patient requirements (units):</t>
  </si>
  <si>
    <t>No. of new patients contacts possible :</t>
  </si>
  <si>
    <t>Stage one - use the space below to add narrative to the assumptions that will be used in the modelling, completing the grey boxes so the information is available for you in stage 2</t>
  </si>
  <si>
    <t>Stage two - Complete a typical scenario for a typical week by entering information from your discussion in stage 1 in the grey boxes</t>
  </si>
  <si>
    <t>Working days per week 
(5 or 7)</t>
  </si>
  <si>
    <r>
      <t xml:space="preserve">Role </t>
    </r>
    <r>
      <rPr>
        <b/>
        <i/>
        <sz val="11"/>
        <color theme="1"/>
        <rFont val="Calibri"/>
        <family val="2"/>
        <scheme val="minor"/>
      </rPr>
      <t>(list the role within the team you are modelling)</t>
    </r>
  </si>
  <si>
    <t>WTE for the team (actual in post)</t>
  </si>
  <si>
    <t>Stage three - describe how you plan to use the remaining capacity, by adding the units required for new patients from stage 1</t>
  </si>
  <si>
    <t xml:space="preserve">units </t>
  </si>
  <si>
    <t xml:space="preserve">Welcome to the Demand and capacity Lite Model </t>
  </si>
  <si>
    <t>Stage 1</t>
  </si>
  <si>
    <t>Stage 2</t>
  </si>
  <si>
    <t>Stage 3</t>
  </si>
  <si>
    <t>Version Number</t>
  </si>
  <si>
    <t>Author</t>
  </si>
  <si>
    <t>This is designed for front-line team to improve understanding of patient facing time, the demand for current patients over a week and to establish how much time is left for new patient referrals.  It is aimed at organisations or services that are starting their Demand and Capacity journey or looking to complete a simple model and can also use this as preparatory work ahead of using more advanced tools that are available.</t>
  </si>
  <si>
    <t>Is best completed as a team discussion, working through the questions and recording information that is the 'best guess' and 'in general', appreciating every week can look different</t>
  </si>
  <si>
    <t>This will auto calculate the capacity to see new patients based on your numbers created in stage 2</t>
  </si>
  <si>
    <r>
      <t xml:space="preserve">Group/Clinic Session Assumptions
</t>
    </r>
    <r>
      <rPr>
        <sz val="11"/>
        <color theme="1"/>
        <rFont val="Calibri"/>
        <family val="2"/>
        <scheme val="minor"/>
      </rPr>
      <t>If your service uses group sessions or clinics for multiple people with short slots for things like injections, it is important to account for the impact they have on the availability of staff.</t>
    </r>
    <r>
      <rPr>
        <b/>
        <sz val="11"/>
        <color theme="1"/>
        <rFont val="Calibri"/>
        <family val="2"/>
        <scheme val="minor"/>
      </rPr>
      <t xml:space="preserve">
</t>
    </r>
    <r>
      <rPr>
        <sz val="11"/>
        <color theme="1"/>
        <rFont val="Calibri"/>
        <family val="2"/>
        <scheme val="minor"/>
      </rPr>
      <t>Your service should consider how many group/clinic sessions are run per week, how long these sessions take, and how many staff are required to run the group session.</t>
    </r>
  </si>
  <si>
    <t>Total Minutes Required for Group/Clinic Sessions</t>
  </si>
  <si>
    <t>Total Units Required for Group/Clinic  Sessions</t>
  </si>
  <si>
    <t xml:space="preserve">Demand and capacity modelling will never be 100% accurate, however, it is feasible to populate the model such that it is good enough to support your operational service planning and inform improvement ideas.  This model can also be used for testing scenarios e.g. changes in workforce, or ways of delivering the service. </t>
  </si>
  <si>
    <t>Current Patients requiring remote/clinic support (patients):</t>
  </si>
  <si>
    <t>Current patient requirements - remote/clinic support (units):</t>
  </si>
  <si>
    <t>Group/Clinic (&gt;15 mins per patient) Sessions</t>
  </si>
  <si>
    <t>Whole Time Equivalent value (hours):</t>
  </si>
  <si>
    <t>Capacity Count</t>
  </si>
  <si>
    <t>Trust &amp; Service Name</t>
  </si>
  <si>
    <r>
      <t xml:space="preserve">Patient Facing Time Reduction
</t>
    </r>
    <r>
      <rPr>
        <sz val="11"/>
        <color theme="1"/>
        <rFont val="Calibri"/>
        <family val="2"/>
        <scheme val="minor"/>
      </rPr>
      <t xml:space="preserve">Patient facing time may be further impacted by additional situation which affect the whole team, including annual leave, sickness and training or teaching activities.  Vacancies are taken into account by only modelling on the staff in post.  
You may have actual figures to hand or you can make a judgement, most teams work on the assumption that around 25% of staffing will be reduced at any one time due to normal workforce patterns, but you have  more or less, so it helps to be realistic. 
</t>
    </r>
  </si>
  <si>
    <t xml:space="preserve">Allows you to add some numbers into the grey boxes, including staff in post and the assumptions you have made in stage 1 </t>
  </si>
  <si>
    <t xml:space="preserve">Thinking about your service, how much of your staff's time is used for patient facing activity per week? </t>
  </si>
  <si>
    <t>Thinking about your service, how much does your patient facing time need to be reduced due to other reasons?</t>
  </si>
  <si>
    <r>
      <t xml:space="preserve">Unit Assumptions
</t>
    </r>
    <r>
      <rPr>
        <sz val="11"/>
        <color theme="1"/>
        <rFont val="Calibri"/>
        <family val="2"/>
        <scheme val="minor"/>
      </rPr>
      <t>It can be useful to think about your caseload in units of work, as we know different types of appointment and different types of client will require different amounts of staff time. Creating a standard unit of time across the staff groups helps get the balance of staff availability for these different pathways.</t>
    </r>
    <r>
      <rPr>
        <b/>
        <sz val="11"/>
        <color theme="1"/>
        <rFont val="Calibri"/>
        <family val="2"/>
        <scheme val="minor"/>
      </rPr>
      <t xml:space="preserve">  If your organisation does not use this measure please model in hours i.e. 1 unit = 60 mins.</t>
    </r>
  </si>
  <si>
    <t>Date</t>
  </si>
  <si>
    <t>Comments</t>
  </si>
  <si>
    <t>Paul Bullard</t>
  </si>
  <si>
    <t>Live version 1</t>
  </si>
  <si>
    <t xml:space="preserve">Example </t>
  </si>
  <si>
    <r>
      <t xml:space="preserve">Patient/client Facing Time Assumptions
</t>
    </r>
    <r>
      <rPr>
        <sz val="11"/>
        <color theme="1"/>
        <rFont val="Calibri"/>
        <family val="2"/>
        <scheme val="minor"/>
      </rPr>
      <t xml:space="preserve">Patient facing time is made up of time that is available for seeing patients both face to face and via remote consultation.  Travel, notes writing and phone calls can be included in patient-related activity.  Different roles within the team will have different time available.  Non-patient facing time may include important team events such as handovers, team meetings, MDT meetings, clinical supervision etc. In the box below estimate each day per role/band how much is available for direct patient care and patient related activities by taking off the time required for non-patient facing activities </t>
    </r>
    <r>
      <rPr>
        <i/>
        <sz val="11"/>
        <color theme="1"/>
        <rFont val="Calibri"/>
        <family val="2"/>
        <scheme val="minor"/>
      </rPr>
      <t>(you will add this information to Column C in stage 2).</t>
    </r>
    <r>
      <rPr>
        <sz val="11"/>
        <color theme="1"/>
        <rFont val="Calibri"/>
        <family val="2"/>
        <scheme val="minor"/>
      </rPr>
      <t xml:space="preserve"> </t>
    </r>
  </si>
  <si>
    <t>The organisation use a unit system which is 1 unit = 15 mins.</t>
  </si>
  <si>
    <t xml:space="preserve">Home visits take 2 hours (8 units) including travel and record keeping.  Those able to come to individual clinic visits or are  supported over the phone require 1 hour (4 units) including record keeping. </t>
  </si>
  <si>
    <r>
      <t xml:space="preserve">The team leader (Band 7) has a variety of clinical and staff related responsibilities including admin, reports, staff support and urgent clinical responsibilities, therefore it could be estimated that approx. 3 hours per day are clinical = 15 per week.
Registered staff (Bands 6 &amp; 5), on average have 5 hours per day as clinical = 25 per week, taking into account breaks, handover, MDT meetings.  Support staff (Band 3), on average have 6 hours per day as clinical = 30 per week, taking into account breaks and handovers.  Patient-facing/clinical time includes travel, face to face consultation and notes.
</t>
    </r>
    <r>
      <rPr>
        <b/>
        <i/>
        <sz val="11"/>
        <color theme="1"/>
        <rFont val="Calibri"/>
        <family val="2"/>
        <scheme val="minor"/>
      </rPr>
      <t>Therefore: Band 7 = 3 hours, Band 6 &amp; 5 = 5 hours and Band 3 = 6 hours patient-facing will be added from stage 2 (next tab) from column C11.</t>
    </r>
  </si>
  <si>
    <r>
      <t xml:space="preserve">About 40% in total which takes into account leave, training with other reasons including sickness (higher related to COVID) and 10% of the workforce is required to cover the weekend (2 wtes @ weekend vs. a total of 19 wte available). 
</t>
    </r>
    <r>
      <rPr>
        <b/>
        <i/>
        <sz val="11"/>
        <color theme="1"/>
        <rFont val="Calibri"/>
        <family val="2"/>
        <scheme val="minor"/>
      </rPr>
      <t xml:space="preserve">The model will work with 7-day services who provide a similar level of support across 7-days, for this example it is a small resource covering urgent calls only therefore the core hours capacity are adjusted.  This can be added from column D11. 
</t>
    </r>
  </si>
  <si>
    <t xml:space="preserve">4 staff provide care for patients with complex needs across 5 days (with cover for these patients at the weekend), 25 patients are currently on the shared care caseload and have contact once a week, which is about 5 a day (face to face).  Follow-up at home/clinic support for clients on the routine caseload is provided by the care coordinator who have about 35 clients each and aim to see 3 clients a day.  This is about 50% at home and 50% in a clinic/remote.  
Based on about 10 qualified staff per day (week days); 4 staff are providing complex care (5 clients per day) and 6 staff are providing routine care (18 clients per day), which is 95 per week (50 face to face &amp; 45 clinic/remote).
In addition about 30 patients per week require a home visit for a depot injection because they are unable to come to clinic. 
</t>
  </si>
  <si>
    <t xml:space="preserve">New clients will require 2.5 hours (10 units) including prep, appointment and note writing, all new clients are seen in clinic.  We have accounted for the allocation and MDT discussion for new patients in the non-patient facing activity. 
</t>
  </si>
  <si>
    <r>
      <t xml:space="preserve">There are 2 clinics a week for depot injections (requires 2 team members) - this will be categorised as a group as the clinic slots are quite short and enable a number of people to be seen within a few hours.  There is also a once a week clozapine clinic (requires 2 team members). Clinic sessions run for 4 hours (250 minutes) which includes admin time. 
We run a weekly support group for patients, up to 12 in a group, currently we have 2 groups running.  
</t>
    </r>
    <r>
      <rPr>
        <b/>
        <i/>
        <sz val="11"/>
        <color theme="1"/>
        <rFont val="Calibri"/>
        <family val="2"/>
        <scheme val="minor"/>
      </rPr>
      <t xml:space="preserve">This allows resource to be protected for these sessions if part of your service (if not please leave this blank). </t>
    </r>
    <r>
      <rPr>
        <i/>
        <sz val="11"/>
        <color theme="1"/>
        <rFont val="Calibri"/>
        <family val="2"/>
        <scheme val="minor"/>
      </rPr>
      <t xml:space="preserve">
</t>
    </r>
  </si>
  <si>
    <t xml:space="preserve">Notes </t>
  </si>
  <si>
    <t>Version/author</t>
  </si>
  <si>
    <t>The model is designed to explore the following:</t>
  </si>
  <si>
    <t>Use the grey boxes to edit assumptions made in stage 1</t>
  </si>
  <si>
    <t>Southern Health NHS Foundation Trust - Psychology Team</t>
  </si>
  <si>
    <t>Notes/Date</t>
  </si>
  <si>
    <t>BW</t>
  </si>
  <si>
    <t>Initial discussion with team 20/10/2021</t>
  </si>
  <si>
    <t>BW/WR</t>
  </si>
  <si>
    <t>First draft circulated 01/11/2021</t>
  </si>
  <si>
    <t>Meetings - 2 hours per week Dialectical Behaviour Therapy (DBT) team meeting (Tues)
Handover/lunch - 5 hour (1 hour each day)
Clinical supervision/therapy - 2 hour each week (Tues) &amp; 2 hours per month management supervision
Client related: MDT - 3.5 hours each week (Thurs)
DBT team meeting - 30 mins (Weds)
Therefore about 14 hours are non-patient facing, which is about 3 hours per day = 4.5 hours available for patients (based on a 7.5 hour working day)</t>
  </si>
  <si>
    <t>About 30% in total which takes into account leave, maternity leave, sickness and training.</t>
  </si>
  <si>
    <t>The organisation use a unit of time for planning workload where 1 unit = 15 mins</t>
  </si>
  <si>
    <t xml:space="preserve">As a new service the aim is to support 42 patients a year across the DBT pathway.  This includes individual face to face clinic sessions and group sessions.  
Some patients phone for urgent support in-between sessions (which we class as remote support).  We also offer group sessions for family members.  
Currently there are 10 clients on the caseload, requiring face to face and remote support. </t>
  </si>
  <si>
    <t xml:space="preserve">Currently there are 10 patients on the caseload who attend face to face appointments for follow-up care.  We calculate a face to face appointment for follow-up care as 120 mins (8 units), including prep time, the hour long consultation and note writing.  This is weekly. 
Urgent calls occur and we respond the same day, this accounts for 1 unit per patient per week.  </t>
  </si>
  <si>
    <t>New patients require about 2 hours (8 units) in the first week, which includes some preparation (reading of referral and liaising with referrer), an hour face to face with a psychologist in clinic and time to write up notes/letters. We have accounted for the allocation and MDT discussion for new patients in the non-patient facing activity. 
Some client will make urgent calls, and it is important to allocate time for this each week, therefore we will account for this as 1 unit.  Therefore the total time required for new patients is 9 (face to face) and 1 remote = 10 units</t>
  </si>
  <si>
    <t>The pathway for patients also includes group sessions of between 8-12 people with 2 members of staff requiring 10 units (prep, 2 hours group, review), per week.
Family connections (12 sessions), 10 units (prep &amp; 2 hours group) - 2 clinicians, per week.
3 group sessions are run per week (clients and family).</t>
  </si>
  <si>
    <t>Band 6</t>
  </si>
  <si>
    <t>Band 7</t>
  </si>
  <si>
    <t>Band 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</si>
</sst>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sz val="11"/>
      <color theme="1"/>
      <name val="Calibri"/>
      <family val="2"/>
      <scheme val="minor"/>
    </font>
    <font>
      <b/>
      <i/>
      <sz val="11"/>
      <color theme="1"/>
      <name val="Calibri"/>
      <family val="2"/>
      <scheme val="minor"/>
    </font>
    <font>
      <sz val="11"/>
      <color theme="0"/>
      <name val="Calibri"/>
      <family val="2"/>
      <scheme val="minor"/>
    </font>
    <font>
      <sz val="11"/>
      <color rgb="FF000000"/>
      <name val="Calibri"/>
      <family val="2"/>
    </font>
    <font>
      <i/>
      <sz val="11"/>
      <color theme="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23">
    <xf numFmtId="0" fontId="0" fillId="0" borderId="0" xfId="0"/>
    <xf numFmtId="2" fontId="0" fillId="0" borderId="0" xfId="0" applyNumberFormat="1" applyFill="1"/>
    <xf numFmtId="0" fontId="0" fillId="0" borderId="0" xfId="0" applyBorder="1"/>
    <xf numFmtId="0" fontId="0" fillId="0" borderId="0" xfId="0" applyFill="1" applyBorder="1"/>
    <xf numFmtId="0" fontId="0" fillId="0" borderId="0" xfId="0" applyFill="1"/>
    <xf numFmtId="0" fontId="0" fillId="0" borderId="0" xfId="0" applyFill="1" applyBorder="1" applyAlignment="1"/>
    <xf numFmtId="164" fontId="0" fillId="0" borderId="0" xfId="0" applyNumberFormat="1" applyFill="1" applyBorder="1" applyAlignment="1">
      <alignment horizontal="center"/>
    </xf>
    <xf numFmtId="1" fontId="0" fillId="0" borderId="0" xfId="0" applyNumberFormat="1" applyFill="1" applyBorder="1" applyAlignment="1">
      <alignment horizontal="center"/>
    </xf>
    <xf numFmtId="0" fontId="0" fillId="0" borderId="0" xfId="0" applyFill="1" applyBorder="1" applyAlignment="1">
      <alignment horizontal="center" vertical="center" wrapText="1"/>
    </xf>
    <xf numFmtId="0" fontId="0" fillId="0" borderId="0" xfId="0" applyFill="1" applyAlignment="1">
      <alignment horizontal="center" vertical="center" wrapText="1"/>
    </xf>
    <xf numFmtId="0" fontId="1" fillId="3" borderId="1" xfId="0" applyFont="1" applyFill="1" applyBorder="1"/>
    <xf numFmtId="0" fontId="1" fillId="0" borderId="0" xfId="0" applyFont="1" applyBorder="1"/>
    <xf numFmtId="0" fontId="0" fillId="0" borderId="4" xfId="0" applyFill="1" applyBorder="1" applyAlignment="1">
      <alignment vertical="center" wrapText="1"/>
    </xf>
    <xf numFmtId="0" fontId="0" fillId="0" borderId="0" xfId="0" applyFill="1" applyAlignment="1">
      <alignment vertical="center" wrapText="1"/>
    </xf>
    <xf numFmtId="2" fontId="1" fillId="0" borderId="0" xfId="0" applyNumberFormat="1" applyFont="1" applyFill="1" applyBorder="1"/>
    <xf numFmtId="164" fontId="1" fillId="3" borderId="1" xfId="0" applyNumberFormat="1" applyFont="1" applyFill="1" applyBorder="1"/>
    <xf numFmtId="0" fontId="0" fillId="5" borderId="1" xfId="0" applyFill="1" applyBorder="1"/>
    <xf numFmtId="0" fontId="0" fillId="0" borderId="0" xfId="0" applyBorder="1" applyAlignment="1">
      <alignment vertical="top"/>
    </xf>
    <xf numFmtId="0" fontId="0" fillId="0" borderId="0" xfId="0" applyAlignment="1">
      <alignment vertical="top" wrapText="1"/>
    </xf>
    <xf numFmtId="0" fontId="0" fillId="0" borderId="0" xfId="0" applyAlignment="1">
      <alignment vertical="top"/>
    </xf>
    <xf numFmtId="0" fontId="1" fillId="6" borderId="11" xfId="0" applyFont="1" applyFill="1" applyBorder="1" applyAlignment="1">
      <alignment horizontal="center" vertical="top"/>
    </xf>
    <xf numFmtId="0" fontId="1" fillId="3" borderId="1" xfId="0" applyFont="1" applyFill="1" applyBorder="1" applyAlignment="1">
      <alignment horizontal="center" vertical="center" wrapText="1"/>
    </xf>
    <xf numFmtId="0" fontId="1" fillId="3" borderId="1" xfId="0" applyFont="1" applyFill="1" applyBorder="1" applyAlignment="1">
      <alignment horizontal="left" vertical="center" wrapText="1"/>
    </xf>
    <xf numFmtId="0" fontId="1" fillId="5" borderId="1" xfId="0" applyFont="1" applyFill="1" applyBorder="1"/>
    <xf numFmtId="0" fontId="0" fillId="0" borderId="0" xfId="0" applyBorder="1" applyAlignment="1">
      <alignment horizontal="center"/>
    </xf>
    <xf numFmtId="9" fontId="1" fillId="3" borderId="1" xfId="1" applyFont="1" applyFill="1" applyBorder="1"/>
    <xf numFmtId="0" fontId="0" fillId="0" borderId="0" xfId="0" applyAlignment="1">
      <alignment horizontal="center" wrapText="1"/>
    </xf>
    <xf numFmtId="0" fontId="0" fillId="0" borderId="0" xfId="0" applyAlignment="1">
      <alignment vertical="center"/>
    </xf>
    <xf numFmtId="0" fontId="0" fillId="0" borderId="0" xfId="0" applyAlignment="1">
      <alignment horizontal="left" vertical="center" wrapText="1"/>
    </xf>
    <xf numFmtId="0" fontId="0" fillId="13" borderId="0" xfId="0" applyFont="1" applyFill="1" applyAlignment="1">
      <alignment horizontal="center" vertical="center" wrapText="1"/>
    </xf>
    <xf numFmtId="0" fontId="0" fillId="13" borderId="0" xfId="0" applyFill="1"/>
    <xf numFmtId="0" fontId="0" fillId="7"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3" borderId="0" xfId="0" applyFill="1" applyBorder="1"/>
    <xf numFmtId="0" fontId="4" fillId="0" borderId="0" xfId="0" applyFont="1"/>
    <xf numFmtId="0" fontId="0" fillId="0" borderId="1" xfId="0" applyBorder="1"/>
    <xf numFmtId="14" fontId="0" fillId="0" borderId="1" xfId="0" applyNumberFormat="1" applyBorder="1"/>
    <xf numFmtId="9" fontId="0" fillId="15" borderId="1" xfId="0" applyNumberFormat="1" applyFill="1" applyBorder="1" applyAlignment="1">
      <alignment horizontal="center"/>
    </xf>
    <xf numFmtId="0" fontId="0" fillId="5" borderId="1" xfId="0" applyFill="1" applyBorder="1" applyAlignment="1">
      <alignment horizontal="center" vertical="top"/>
    </xf>
    <xf numFmtId="0" fontId="1" fillId="7" borderId="1" xfId="0" applyFont="1" applyFill="1" applyBorder="1" applyAlignment="1"/>
    <xf numFmtId="0" fontId="1" fillId="7" borderId="11" xfId="0" applyFont="1" applyFill="1" applyBorder="1" applyAlignment="1">
      <alignment horizontal="center" vertical="top"/>
    </xf>
    <xf numFmtId="0" fontId="1" fillId="6" borderId="1" xfId="0" applyFont="1" applyFill="1" applyBorder="1"/>
    <xf numFmtId="0" fontId="1" fillId="7" borderId="1" xfId="0" applyFont="1" applyFill="1" applyBorder="1"/>
    <xf numFmtId="0" fontId="0" fillId="16" borderId="1" xfId="0" applyFill="1" applyBorder="1" applyAlignment="1">
      <alignment horizontal="left" wrapText="1"/>
    </xf>
    <xf numFmtId="0" fontId="0" fillId="0" borderId="1" xfId="0" applyBorder="1" applyAlignment="1" applyProtection="1">
      <alignment horizontal="left" vertical="top" wrapText="1"/>
      <protection locked="0"/>
    </xf>
    <xf numFmtId="9" fontId="0" fillId="5" borderId="1" xfId="1" applyFont="1" applyFill="1" applyBorder="1" applyAlignment="1" applyProtection="1">
      <alignment vertical="top"/>
      <protection locked="0"/>
    </xf>
    <xf numFmtId="0" fontId="0" fillId="5" borderId="1" xfId="0" applyFill="1" applyBorder="1" applyAlignment="1" applyProtection="1">
      <alignment vertical="top"/>
      <protection locked="0"/>
    </xf>
    <xf numFmtId="0" fontId="1" fillId="5" borderId="1" xfId="0" applyFont="1" applyFill="1" applyBorder="1" applyProtection="1">
      <protection locked="0"/>
    </xf>
    <xf numFmtId="0" fontId="0" fillId="5" borderId="1" xfId="0" applyFill="1" applyBorder="1" applyProtection="1">
      <protection locked="0"/>
    </xf>
    <xf numFmtId="9" fontId="0" fillId="5" borderId="1" xfId="1" applyFont="1" applyFill="1" applyBorder="1" applyProtection="1">
      <protection locked="0"/>
    </xf>
    <xf numFmtId="0" fontId="0" fillId="0" borderId="1" xfId="0" applyBorder="1" applyAlignment="1" applyProtection="1">
      <alignment horizontal="left" vertical="top" wrapText="1"/>
      <protection locked="0"/>
    </xf>
    <xf numFmtId="0" fontId="0" fillId="14" borderId="1" xfId="0" applyFill="1" applyBorder="1" applyAlignment="1">
      <alignment horizontal="left"/>
    </xf>
    <xf numFmtId="0" fontId="0" fillId="11" borderId="0" xfId="0" applyFill="1" applyAlignment="1">
      <alignment horizontal="center" vertical="center"/>
    </xf>
    <xf numFmtId="0" fontId="0" fillId="11" borderId="6" xfId="0" applyFill="1" applyBorder="1" applyAlignment="1">
      <alignment horizontal="center" vertical="center"/>
    </xf>
    <xf numFmtId="0" fontId="0" fillId="7" borderId="7" xfId="0" applyFill="1" applyBorder="1" applyAlignment="1" applyProtection="1">
      <alignment horizontal="left" vertical="center"/>
      <protection locked="0"/>
    </xf>
    <xf numFmtId="0" fontId="0" fillId="7" borderId="8" xfId="0" applyFill="1" applyBorder="1" applyAlignment="1" applyProtection="1">
      <alignment horizontal="left" vertical="center"/>
      <protection locked="0"/>
    </xf>
    <xf numFmtId="0" fontId="0" fillId="7" borderId="9" xfId="0" applyFill="1" applyBorder="1" applyAlignment="1" applyProtection="1">
      <alignment horizontal="left" vertical="center"/>
      <protection locked="0"/>
    </xf>
    <xf numFmtId="0" fontId="0" fillId="7" borderId="5" xfId="0" applyFill="1" applyBorder="1" applyAlignment="1" applyProtection="1">
      <alignment horizontal="left" vertical="center"/>
      <protection locked="0"/>
    </xf>
    <xf numFmtId="0" fontId="0" fillId="7" borderId="6" xfId="0" applyFill="1" applyBorder="1" applyAlignment="1" applyProtection="1">
      <alignment horizontal="left" vertical="center"/>
      <protection locked="0"/>
    </xf>
    <xf numFmtId="0" fontId="0" fillId="7" borderId="10" xfId="0" applyFill="1" applyBorder="1" applyAlignment="1" applyProtection="1">
      <alignment horizontal="left" vertical="center"/>
      <protection locked="0"/>
    </xf>
    <xf numFmtId="0" fontId="0" fillId="9" borderId="1" xfId="0" applyFont="1" applyFill="1" applyBorder="1" applyAlignment="1">
      <alignment horizontal="center" vertical="center"/>
    </xf>
    <xf numFmtId="0" fontId="0" fillId="8" borderId="1" xfId="0" applyFont="1" applyFill="1" applyBorder="1" applyAlignment="1">
      <alignment horizontal="center" vertical="center" wrapText="1"/>
    </xf>
    <xf numFmtId="0" fontId="0" fillId="16" borderId="1" xfId="0" applyFill="1" applyBorder="1" applyAlignment="1">
      <alignment horizontal="left" wrapText="1"/>
    </xf>
    <xf numFmtId="0" fontId="0" fillId="0" borderId="1" xfId="0" applyBorder="1" applyAlignment="1" applyProtection="1">
      <alignment horizontal="left" vertical="top" wrapText="1"/>
      <protection locked="0"/>
    </xf>
    <xf numFmtId="0" fontId="0" fillId="7" borderId="1" xfId="0" applyFill="1" applyBorder="1" applyAlignment="1">
      <alignment horizontal="left" vertical="center" wrapText="1"/>
    </xf>
    <xf numFmtId="0" fontId="0" fillId="10" borderId="1" xfId="0" applyFill="1" applyBorder="1" applyAlignment="1">
      <alignment horizontal="left" vertical="center" wrapText="1"/>
    </xf>
    <xf numFmtId="0" fontId="0" fillId="11" borderId="1" xfId="0" applyFill="1" applyBorder="1" applyAlignment="1">
      <alignment horizontal="left" vertical="center" wrapText="1"/>
    </xf>
    <xf numFmtId="0" fontId="0" fillId="12" borderId="1" xfId="0" applyFill="1" applyBorder="1" applyAlignment="1">
      <alignment horizontal="center" vertical="center" wrapText="1"/>
    </xf>
    <xf numFmtId="0" fontId="1" fillId="7" borderId="2" xfId="0" applyFont="1" applyFill="1" applyBorder="1" applyAlignment="1">
      <alignment horizontal="left"/>
    </xf>
    <xf numFmtId="0" fontId="1" fillId="7" borderId="3" xfId="0" applyFont="1" applyFill="1" applyBorder="1" applyAlignment="1">
      <alignment horizontal="left"/>
    </xf>
    <xf numFmtId="0" fontId="1" fillId="7" borderId="11" xfId="0" applyFont="1" applyFill="1" applyBorder="1" applyAlignment="1">
      <alignment horizontal="left"/>
    </xf>
    <xf numFmtId="0" fontId="1" fillId="7" borderId="1" xfId="0" applyFont="1" applyFill="1" applyBorder="1" applyAlignment="1">
      <alignment horizontal="left"/>
    </xf>
    <xf numFmtId="0" fontId="0" fillId="7" borderId="1" xfId="0" applyFill="1" applyBorder="1" applyAlignment="1">
      <alignment horizontal="left"/>
    </xf>
    <xf numFmtId="0" fontId="6" fillId="0" borderId="1" xfId="0" applyFont="1" applyBorder="1" applyAlignment="1">
      <alignment horizontal="left" vertical="top" wrapText="1"/>
    </xf>
    <xf numFmtId="0" fontId="0" fillId="7" borderId="1" xfId="0" applyFill="1" applyBorder="1" applyAlignment="1"/>
    <xf numFmtId="0" fontId="6" fillId="0" borderId="1" xfId="0" applyFont="1" applyBorder="1" applyAlignment="1">
      <alignment vertical="top" wrapText="1"/>
    </xf>
    <xf numFmtId="0" fontId="1" fillId="7" borderId="1" xfId="0" applyFont="1" applyFill="1" applyBorder="1" applyAlignment="1">
      <alignment horizontal="left" vertical="top" wrapText="1"/>
    </xf>
    <xf numFmtId="0" fontId="1" fillId="6" borderId="1" xfId="0" applyFont="1" applyFill="1" applyBorder="1" applyAlignment="1">
      <alignment horizontal="left"/>
    </xf>
    <xf numFmtId="0" fontId="1" fillId="6" borderId="1" xfId="0" applyFont="1" applyFill="1" applyBorder="1" applyAlignment="1">
      <alignment horizontal="left" vertical="top"/>
    </xf>
    <xf numFmtId="0" fontId="1" fillId="6" borderId="1" xfId="0" applyFont="1" applyFill="1" applyBorder="1" applyAlignment="1">
      <alignment horizontal="left" vertical="top" wrapText="1"/>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0"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1" fillId="6" borderId="3" xfId="0" applyFont="1" applyFill="1" applyBorder="1" applyAlignment="1">
      <alignment horizontal="left" vertical="top" wrapText="1"/>
    </xf>
    <xf numFmtId="0" fontId="1" fillId="6" borderId="11" xfId="0" applyFont="1" applyFill="1" applyBorder="1" applyAlignment="1">
      <alignment horizontal="left" vertical="top" wrapText="1"/>
    </xf>
    <xf numFmtId="0" fontId="0" fillId="0" borderId="1" xfId="0" applyBorder="1" applyAlignment="1" applyProtection="1">
      <alignment horizontal="left" vertical="top"/>
      <protection locked="0"/>
    </xf>
    <xf numFmtId="0" fontId="0" fillId="0" borderId="12" xfId="0" applyBorder="1" applyAlignment="1" applyProtection="1">
      <alignment horizontal="left" vertical="top"/>
      <protection locked="0"/>
    </xf>
    <xf numFmtId="0" fontId="1" fillId="6" borderId="2" xfId="0" applyFont="1" applyFill="1" applyBorder="1" applyAlignment="1">
      <alignment horizontal="left"/>
    </xf>
    <xf numFmtId="0" fontId="1" fillId="6" borderId="3" xfId="0" applyFont="1" applyFill="1" applyBorder="1" applyAlignment="1">
      <alignment horizontal="left"/>
    </xf>
    <xf numFmtId="0" fontId="1" fillId="6" borderId="11" xfId="0" applyFont="1" applyFill="1" applyBorder="1" applyAlignment="1">
      <alignment horizontal="left"/>
    </xf>
    <xf numFmtId="0" fontId="1" fillId="6" borderId="5" xfId="0" applyFont="1" applyFill="1" applyBorder="1" applyAlignment="1">
      <alignment horizontal="left" vertical="top"/>
    </xf>
    <xf numFmtId="0" fontId="1" fillId="6" borderId="6" xfId="0" applyFont="1" applyFill="1" applyBorder="1" applyAlignment="1">
      <alignment horizontal="left" vertical="top"/>
    </xf>
    <xf numFmtId="0" fontId="0" fillId="0" borderId="12" xfId="0" applyBorder="1" applyAlignment="1" applyProtection="1">
      <alignment horizontal="left" vertical="top" wrapText="1"/>
      <protection locked="0"/>
    </xf>
    <xf numFmtId="0" fontId="1" fillId="4" borderId="1" xfId="0" applyFont="1" applyFill="1" applyBorder="1" applyAlignment="1">
      <alignment horizontal="center" wrapText="1"/>
    </xf>
    <xf numFmtId="0" fontId="0" fillId="6" borderId="1" xfId="0" applyFill="1" applyBorder="1" applyAlignment="1">
      <alignment horizontal="left" vertical="top"/>
    </xf>
    <xf numFmtId="0" fontId="1" fillId="6" borderId="7" xfId="0" applyFont="1" applyFill="1" applyBorder="1" applyAlignment="1">
      <alignment horizontal="left" vertical="top" wrapText="1"/>
    </xf>
    <xf numFmtId="0" fontId="1" fillId="6" borderId="8" xfId="0" applyFont="1" applyFill="1" applyBorder="1" applyAlignment="1">
      <alignment horizontal="left" vertical="top" wrapText="1"/>
    </xf>
    <xf numFmtId="0" fontId="1" fillId="6" borderId="9" xfId="0" applyFont="1" applyFill="1" applyBorder="1" applyAlignment="1">
      <alignment horizontal="left" vertical="top" wrapText="1"/>
    </xf>
    <xf numFmtId="0" fontId="1" fillId="6"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1" fillId="6" borderId="1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6" xfId="0" applyFont="1" applyFill="1" applyBorder="1" applyAlignment="1">
      <alignment horizontal="left" vertical="top" wrapText="1"/>
    </xf>
    <xf numFmtId="0" fontId="1" fillId="6" borderId="10" xfId="0" applyFont="1" applyFill="1" applyBorder="1" applyAlignment="1">
      <alignment horizontal="left" vertical="top" wrapText="1"/>
    </xf>
    <xf numFmtId="0" fontId="1" fillId="3" borderId="2" xfId="0" applyFont="1" applyFill="1" applyBorder="1" applyAlignment="1">
      <alignment horizontal="left"/>
    </xf>
    <xf numFmtId="0" fontId="1" fillId="3" borderId="11" xfId="0" applyFont="1" applyFill="1" applyBorder="1" applyAlignment="1">
      <alignment horizontal="left"/>
    </xf>
    <xf numFmtId="0" fontId="1" fillId="4" borderId="2" xfId="0" applyFont="1" applyFill="1" applyBorder="1" applyAlignment="1">
      <alignment horizontal="center"/>
    </xf>
    <xf numFmtId="0" fontId="0" fillId="4" borderId="3" xfId="0" applyFill="1" applyBorder="1" applyAlignment="1">
      <alignment horizontal="center"/>
    </xf>
    <xf numFmtId="0" fontId="0" fillId="4" borderId="11" xfId="0" applyFill="1" applyBorder="1" applyAlignment="1">
      <alignment horizontal="center"/>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0" fillId="2" borderId="0" xfId="0" applyFill="1" applyBorder="1" applyAlignment="1">
      <alignment horizontal="center"/>
    </xf>
    <xf numFmtId="0" fontId="1" fillId="4" borderId="1" xfId="0" applyFont="1" applyFill="1" applyBorder="1" applyAlignment="1">
      <alignment horizontal="center"/>
    </xf>
    <xf numFmtId="0" fontId="1" fillId="0" borderId="1" xfId="0" applyFont="1" applyBorder="1" applyAlignment="1" applyProtection="1">
      <alignment horizontal="left" wrapText="1"/>
      <protection locked="0"/>
    </xf>
    <xf numFmtId="0" fontId="1" fillId="0" borderId="1" xfId="0" applyFont="1" applyBorder="1" applyAlignment="1" applyProtection="1">
      <alignment horizontal="left" wrapText="1"/>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456266</xdr:colOff>
      <xdr:row>31</xdr:row>
      <xdr:rowOff>16329</xdr:rowOff>
    </xdr:from>
    <xdr:to>
      <xdr:col>18</xdr:col>
      <xdr:colOff>576504</xdr:colOff>
      <xdr:row>52</xdr:row>
      <xdr:rowOff>38100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456266" y="5626554"/>
          <a:ext cx="13207588" cy="3822246"/>
        </a:xfrm>
        <a:prstGeom prst="rect">
          <a:avLst/>
        </a:prstGeom>
      </xdr:spPr>
    </xdr:pic>
    <xdr:clientData/>
  </xdr:twoCellAnchor>
  <xdr:twoCellAnchor editAs="oneCell">
    <xdr:from>
      <xdr:col>19</xdr:col>
      <xdr:colOff>603250</xdr:colOff>
      <xdr:row>0</xdr:row>
      <xdr:rowOff>38100</xdr:rowOff>
    </xdr:from>
    <xdr:to>
      <xdr:col>21</xdr:col>
      <xdr:colOff>258991</xdr:colOff>
      <xdr:row>5</xdr:row>
      <xdr:rowOff>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44550" y="38100"/>
          <a:ext cx="876300" cy="876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592666</xdr:colOff>
      <xdr:row>0</xdr:row>
      <xdr:rowOff>49388</xdr:rowOff>
    </xdr:from>
    <xdr:to>
      <xdr:col>31</xdr:col>
      <xdr:colOff>259548</xdr:colOff>
      <xdr:row>5</xdr:row>
      <xdr:rowOff>9772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4555" y="49388"/>
          <a:ext cx="876300" cy="876300"/>
        </a:xfrm>
        <a:prstGeom prst="rect">
          <a:avLst/>
        </a:prstGeom>
      </xdr:spPr>
    </xdr:pic>
    <xdr:clientData/>
  </xdr:twoCellAnchor>
  <xdr:twoCellAnchor editAs="oneCell">
    <xdr:from>
      <xdr:col>22</xdr:col>
      <xdr:colOff>55637</xdr:colOff>
      <xdr:row>0</xdr:row>
      <xdr:rowOff>137584</xdr:rowOff>
    </xdr:from>
    <xdr:to>
      <xdr:col>23</xdr:col>
      <xdr:colOff>373608</xdr:colOff>
      <xdr:row>5</xdr:row>
      <xdr:rowOff>96905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14660637" y="137584"/>
          <a:ext cx="972726" cy="861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142875</xdr:colOff>
      <xdr:row>1</xdr:row>
      <xdr:rowOff>0</xdr:rowOff>
    </xdr:from>
    <xdr:to>
      <xdr:col>19</xdr:col>
      <xdr:colOff>358902</xdr:colOff>
      <xdr:row>1</xdr:row>
      <xdr:rowOff>47625</xdr:rowOff>
    </xdr:to>
    <xdr:sp macro="" textlink="">
      <xdr:nvSpPr>
        <xdr:cNvPr id="14" name="Arrow: Down 13">
          <a:extLst>
            <a:ext uri="{FF2B5EF4-FFF2-40B4-BE49-F238E27FC236}">
              <a16:creationId xmlns:a16="http://schemas.microsoft.com/office/drawing/2014/main" id="{00000000-0008-0000-0300-00000E000000}"/>
            </a:ext>
          </a:extLst>
        </xdr:cNvPr>
        <xdr:cNvSpPr/>
      </xdr:nvSpPr>
      <xdr:spPr>
        <a:xfrm>
          <a:off x="12639675" y="200025"/>
          <a:ext cx="216027" cy="209550"/>
        </a:xfrm>
        <a:prstGeom prst="downArrow">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742950</xdr:colOff>
          <xdr:row>8</xdr:row>
          <xdr:rowOff>95250</xdr:rowOff>
        </xdr:from>
        <xdr:to>
          <xdr:col>8</xdr:col>
          <xdr:colOff>200025</xdr:colOff>
          <xdr:row>9</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Capacity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8</xdr:row>
          <xdr:rowOff>85725</xdr:rowOff>
        </xdr:from>
        <xdr:to>
          <xdr:col>9</xdr:col>
          <xdr:colOff>276225</xdr:colOff>
          <xdr:row>9</xdr:row>
          <xdr:rowOff>504825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Capacity Line</a:t>
              </a:r>
            </a:p>
          </xdr:txBody>
        </xdr:sp>
        <xdr:clientData fPrintsWithSheet="0"/>
      </xdr:twoCellAnchor>
    </mc:Choice>
    <mc:Fallback/>
  </mc:AlternateContent>
  <xdr:twoCellAnchor editAs="oneCell">
    <xdr:from>
      <xdr:col>11</xdr:col>
      <xdr:colOff>6350</xdr:colOff>
      <xdr:row>0</xdr:row>
      <xdr:rowOff>50800</xdr:rowOff>
    </xdr:from>
    <xdr:to>
      <xdr:col>12</xdr:col>
      <xdr:colOff>130629</xdr:colOff>
      <xdr:row>5</xdr:row>
      <xdr:rowOff>7710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30200" y="50800"/>
          <a:ext cx="876300"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38100</xdr:colOff>
      <xdr:row>0</xdr:row>
      <xdr:rowOff>44450</xdr:rowOff>
    </xdr:from>
    <xdr:to>
      <xdr:col>14</xdr:col>
      <xdr:colOff>304800</xdr:colOff>
      <xdr:row>5</xdr:row>
      <xdr:rowOff>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03200" y="44450"/>
          <a:ext cx="8763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DC47-0B41-46E0-A082-735AFAD389FE}">
  <sheetPr codeName="Sheet5"/>
  <dimension ref="A1:D2"/>
  <sheetViews>
    <sheetView workbookViewId="0">
      <selection activeCell="B7" sqref="B7"/>
    </sheetView>
  </sheetViews>
  <sheetFormatPr defaultRowHeight="15" x14ac:dyDescent="0.25"/>
  <cols>
    <col min="1" max="1" width="14.42578125" bestFit="1" customWidth="1"/>
    <col min="2" max="2" width="10.42578125" bestFit="1" customWidth="1"/>
    <col min="3" max="3" width="10.7109375" bestFit="1" customWidth="1"/>
    <col min="4" max="4" width="12" bestFit="1" customWidth="1"/>
  </cols>
  <sheetData>
    <row r="1" spans="1:4" x14ac:dyDescent="0.25">
      <c r="A1" s="36" t="s">
        <v>63</v>
      </c>
      <c r="B1" s="36" t="s">
        <v>83</v>
      </c>
      <c r="C1" s="36" t="s">
        <v>64</v>
      </c>
      <c r="D1" s="36" t="s">
        <v>84</v>
      </c>
    </row>
    <row r="2" spans="1:4" x14ac:dyDescent="0.25">
      <c r="A2" s="36">
        <v>1</v>
      </c>
      <c r="B2" s="37">
        <v>44586</v>
      </c>
      <c r="C2" s="36" t="s">
        <v>85</v>
      </c>
      <c r="D2" s="36"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C1B88-C39B-4673-8FEE-2CEA63CE5841}">
  <sheetPr codeName="Sheet1"/>
  <dimension ref="A1:S30"/>
  <sheetViews>
    <sheetView showGridLines="0" tabSelected="1" zoomScaleNormal="100" workbookViewId="0">
      <selection activeCell="C22" sqref="C22:S22"/>
    </sheetView>
  </sheetViews>
  <sheetFormatPr defaultRowHeight="15" x14ac:dyDescent="0.25"/>
  <cols>
    <col min="1" max="1" width="21.42578125" bestFit="1" customWidth="1"/>
    <col min="2" max="2" width="10.85546875" bestFit="1" customWidth="1"/>
    <col min="3" max="3" width="13.42578125" bestFit="1" customWidth="1"/>
  </cols>
  <sheetData>
    <row r="1" spans="1:19" x14ac:dyDescent="0.25">
      <c r="A1" s="53" t="s">
        <v>77</v>
      </c>
      <c r="B1" s="55" t="s">
        <v>100</v>
      </c>
      <c r="C1" s="56"/>
      <c r="D1" s="56"/>
      <c r="E1" s="56"/>
      <c r="F1" s="56"/>
      <c r="G1" s="56"/>
      <c r="H1" s="56"/>
      <c r="I1" s="56"/>
      <c r="J1" s="56"/>
      <c r="K1" s="56"/>
      <c r="L1" s="56"/>
      <c r="M1" s="56"/>
      <c r="N1" s="56"/>
      <c r="O1" s="56"/>
      <c r="P1" s="56"/>
      <c r="Q1" s="56"/>
      <c r="R1" s="56"/>
      <c r="S1" s="57"/>
    </row>
    <row r="2" spans="1:19" x14ac:dyDescent="0.25">
      <c r="A2" s="54"/>
      <c r="B2" s="58"/>
      <c r="C2" s="59"/>
      <c r="D2" s="59"/>
      <c r="E2" s="59"/>
      <c r="F2" s="59"/>
      <c r="G2" s="59"/>
      <c r="H2" s="59"/>
      <c r="I2" s="59"/>
      <c r="J2" s="59"/>
      <c r="K2" s="59"/>
      <c r="L2" s="59"/>
      <c r="M2" s="59"/>
      <c r="N2" s="59"/>
      <c r="O2" s="59"/>
      <c r="P2" s="59"/>
      <c r="Q2" s="59"/>
      <c r="R2" s="59"/>
      <c r="S2" s="60"/>
    </row>
    <row r="3" spans="1:19" x14ac:dyDescent="0.25">
      <c r="A3" s="61" t="s">
        <v>59</v>
      </c>
      <c r="B3" s="61"/>
      <c r="C3" s="61"/>
      <c r="D3" s="61"/>
      <c r="E3" s="61"/>
      <c r="F3" s="61"/>
      <c r="G3" s="61"/>
      <c r="H3" s="61"/>
      <c r="I3" s="61"/>
      <c r="J3" s="61"/>
      <c r="K3" s="61"/>
      <c r="L3" s="61"/>
      <c r="M3" s="61"/>
      <c r="N3" s="61"/>
      <c r="O3" s="61"/>
      <c r="P3" s="61"/>
      <c r="Q3" s="61"/>
      <c r="R3" s="61"/>
      <c r="S3" s="61"/>
    </row>
    <row r="4" spans="1:19" x14ac:dyDescent="0.25">
      <c r="A4" s="61"/>
      <c r="B4" s="61"/>
      <c r="C4" s="61"/>
      <c r="D4" s="61"/>
      <c r="E4" s="61"/>
      <c r="F4" s="61"/>
      <c r="G4" s="61"/>
      <c r="H4" s="61"/>
      <c r="I4" s="61"/>
      <c r="J4" s="61"/>
      <c r="K4" s="61"/>
      <c r="L4" s="61"/>
      <c r="M4" s="61"/>
      <c r="N4" s="61"/>
      <c r="O4" s="61"/>
      <c r="P4" s="61"/>
      <c r="Q4" s="61"/>
      <c r="R4" s="61"/>
      <c r="S4" s="61"/>
    </row>
    <row r="5" spans="1:19" x14ac:dyDescent="0.25">
      <c r="A5" s="62" t="s">
        <v>65</v>
      </c>
      <c r="B5" s="62"/>
      <c r="C5" s="62"/>
      <c r="D5" s="62"/>
      <c r="E5" s="62"/>
      <c r="F5" s="62"/>
      <c r="G5" s="62"/>
      <c r="H5" s="62"/>
      <c r="I5" s="62"/>
      <c r="J5" s="62"/>
      <c r="K5" s="62"/>
      <c r="L5" s="62"/>
      <c r="M5" s="62"/>
      <c r="N5" s="62"/>
      <c r="O5" s="62"/>
      <c r="P5" s="62"/>
      <c r="Q5" s="62"/>
      <c r="R5" s="62"/>
      <c r="S5" s="62"/>
    </row>
    <row r="6" spans="1:19" x14ac:dyDescent="0.25">
      <c r="A6" s="62"/>
      <c r="B6" s="62"/>
      <c r="C6" s="62"/>
      <c r="D6" s="62"/>
      <c r="E6" s="62"/>
      <c r="F6" s="62"/>
      <c r="G6" s="62"/>
      <c r="H6" s="62"/>
      <c r="I6" s="62"/>
      <c r="J6" s="62"/>
      <c r="K6" s="62"/>
      <c r="L6" s="62"/>
      <c r="M6" s="62"/>
      <c r="N6" s="62"/>
      <c r="O6" s="62"/>
      <c r="P6" s="62"/>
      <c r="Q6" s="62"/>
      <c r="R6" s="62"/>
      <c r="S6" s="62"/>
    </row>
    <row r="7" spans="1:19" s="30" customFormat="1" x14ac:dyDescent="0.25">
      <c r="A7" s="29"/>
      <c r="B7" s="29"/>
      <c r="C7" s="29"/>
      <c r="D7" s="29"/>
      <c r="E7" s="29"/>
      <c r="F7" s="29"/>
      <c r="G7" s="29"/>
      <c r="H7" s="29"/>
      <c r="I7" s="29"/>
      <c r="J7" s="29"/>
      <c r="K7" s="29"/>
      <c r="L7" s="29"/>
      <c r="M7" s="29"/>
      <c r="N7" s="29"/>
      <c r="O7" s="29"/>
      <c r="P7" s="29"/>
      <c r="Q7" s="29"/>
      <c r="R7" s="29"/>
      <c r="S7" s="29"/>
    </row>
    <row r="8" spans="1:19" x14ac:dyDescent="0.25">
      <c r="A8" s="31" t="s">
        <v>60</v>
      </c>
      <c r="B8" s="65" t="s">
        <v>66</v>
      </c>
      <c r="C8" s="65"/>
      <c r="D8" s="65"/>
      <c r="E8" s="65"/>
      <c r="F8" s="65"/>
      <c r="G8" s="65"/>
      <c r="H8" s="65"/>
      <c r="I8" s="65"/>
      <c r="J8" s="65"/>
      <c r="K8" s="65"/>
      <c r="L8" s="65"/>
      <c r="M8" s="65"/>
      <c r="N8" s="65"/>
      <c r="O8" s="65"/>
      <c r="P8" s="65"/>
      <c r="Q8" s="65"/>
      <c r="R8" s="65"/>
      <c r="S8" s="65"/>
    </row>
    <row r="9" spans="1:19" x14ac:dyDescent="0.25">
      <c r="A9" s="32" t="s">
        <v>61</v>
      </c>
      <c r="B9" s="66" t="s">
        <v>79</v>
      </c>
      <c r="C9" s="66"/>
      <c r="D9" s="66"/>
      <c r="E9" s="66"/>
      <c r="F9" s="66"/>
      <c r="G9" s="66"/>
      <c r="H9" s="66"/>
      <c r="I9" s="66"/>
      <c r="J9" s="66"/>
      <c r="K9" s="66"/>
      <c r="L9" s="66"/>
      <c r="M9" s="66"/>
      <c r="N9" s="66"/>
      <c r="O9" s="66"/>
      <c r="P9" s="66"/>
      <c r="Q9" s="66"/>
      <c r="R9" s="66"/>
      <c r="S9" s="66"/>
    </row>
    <row r="10" spans="1:19" x14ac:dyDescent="0.25">
      <c r="A10" s="33" t="s">
        <v>62</v>
      </c>
      <c r="B10" s="67" t="s">
        <v>67</v>
      </c>
      <c r="C10" s="67"/>
      <c r="D10" s="67"/>
      <c r="E10" s="67"/>
      <c r="F10" s="67"/>
      <c r="G10" s="67"/>
      <c r="H10" s="67"/>
      <c r="I10" s="67"/>
      <c r="J10" s="67"/>
      <c r="K10" s="67"/>
      <c r="L10" s="67"/>
      <c r="M10" s="67"/>
      <c r="N10" s="67"/>
      <c r="O10" s="67"/>
      <c r="P10" s="67"/>
      <c r="Q10" s="67"/>
      <c r="R10" s="67"/>
      <c r="S10" s="67"/>
    </row>
    <row r="11" spans="1:19" x14ac:dyDescent="0.25">
      <c r="A11" s="27"/>
      <c r="B11" s="28"/>
      <c r="C11" s="28"/>
      <c r="D11" s="28"/>
      <c r="E11" s="28"/>
      <c r="F11" s="28"/>
      <c r="G11" s="28"/>
      <c r="H11" s="28"/>
      <c r="I11" s="28"/>
      <c r="J11" s="28"/>
      <c r="K11" s="28"/>
      <c r="L11" s="28"/>
      <c r="M11" s="28"/>
      <c r="N11" s="28"/>
      <c r="O11" s="28"/>
      <c r="P11" s="28"/>
      <c r="Q11" s="28"/>
      <c r="R11" s="28"/>
      <c r="S11" s="28"/>
    </row>
    <row r="12" spans="1:19" x14ac:dyDescent="0.25">
      <c r="A12" s="68" t="s">
        <v>71</v>
      </c>
      <c r="B12" s="68"/>
      <c r="C12" s="68"/>
      <c r="D12" s="68"/>
      <c r="E12" s="68"/>
      <c r="F12" s="68"/>
      <c r="G12" s="68"/>
      <c r="H12" s="68"/>
      <c r="I12" s="68"/>
      <c r="J12" s="68"/>
      <c r="K12" s="68"/>
      <c r="L12" s="68"/>
      <c r="M12" s="68"/>
      <c r="N12" s="68"/>
      <c r="O12" s="68"/>
      <c r="P12" s="68"/>
      <c r="Q12" s="68"/>
      <c r="R12" s="68"/>
      <c r="S12" s="68"/>
    </row>
    <row r="13" spans="1:19" x14ac:dyDescent="0.25">
      <c r="A13" s="68"/>
      <c r="B13" s="68"/>
      <c r="C13" s="68"/>
      <c r="D13" s="68"/>
      <c r="E13" s="68"/>
      <c r="F13" s="68"/>
      <c r="G13" s="68"/>
      <c r="H13" s="68"/>
      <c r="I13" s="68"/>
      <c r="J13" s="68"/>
      <c r="K13" s="68"/>
      <c r="L13" s="68"/>
      <c r="M13" s="68"/>
      <c r="N13" s="68"/>
      <c r="O13" s="68"/>
      <c r="P13" s="68"/>
      <c r="Q13" s="68"/>
      <c r="R13" s="68"/>
      <c r="S13" s="68"/>
    </row>
    <row r="14" spans="1:19" x14ac:dyDescent="0.25">
      <c r="A14" s="26"/>
      <c r="B14" s="26"/>
      <c r="C14" s="26"/>
      <c r="D14" s="26"/>
      <c r="E14" s="26"/>
      <c r="F14" s="26"/>
      <c r="G14" s="26"/>
      <c r="H14" s="26"/>
      <c r="I14" s="26"/>
      <c r="J14" s="26"/>
      <c r="K14" s="26"/>
      <c r="L14" s="26"/>
      <c r="M14" s="26"/>
      <c r="N14" s="26"/>
      <c r="O14" s="26"/>
      <c r="P14" s="26"/>
      <c r="Q14" s="26"/>
      <c r="R14" s="26"/>
      <c r="S14" s="26"/>
    </row>
    <row r="15" spans="1:19" x14ac:dyDescent="0.25">
      <c r="A15" s="44" t="s">
        <v>97</v>
      </c>
      <c r="B15" s="44" t="s">
        <v>83</v>
      </c>
      <c r="C15" s="63" t="s">
        <v>96</v>
      </c>
      <c r="D15" s="63"/>
      <c r="E15" s="63"/>
      <c r="F15" s="63"/>
      <c r="G15" s="63"/>
      <c r="H15" s="63"/>
      <c r="I15" s="63"/>
      <c r="J15" s="63"/>
      <c r="K15" s="63"/>
      <c r="L15" s="63"/>
      <c r="M15" s="63"/>
      <c r="N15" s="63"/>
      <c r="O15" s="63"/>
      <c r="P15" s="63"/>
      <c r="Q15" s="63"/>
      <c r="R15" s="63"/>
      <c r="S15" s="63"/>
    </row>
    <row r="16" spans="1:19" x14ac:dyDescent="0.25">
      <c r="A16" s="121" t="s">
        <v>63</v>
      </c>
      <c r="B16" s="121" t="s">
        <v>64</v>
      </c>
      <c r="C16" s="122" t="s">
        <v>101</v>
      </c>
      <c r="D16" s="122"/>
      <c r="E16" s="122"/>
      <c r="F16" s="122"/>
      <c r="G16" s="122"/>
      <c r="H16" s="122"/>
      <c r="I16" s="122"/>
      <c r="J16" s="122"/>
      <c r="K16" s="122"/>
      <c r="L16" s="122"/>
      <c r="M16" s="122"/>
      <c r="N16" s="122"/>
      <c r="O16" s="122"/>
      <c r="P16" s="122"/>
      <c r="Q16" s="122"/>
      <c r="R16" s="122"/>
      <c r="S16" s="122"/>
    </row>
    <row r="17" spans="1:19" x14ac:dyDescent="0.25">
      <c r="A17" s="51">
        <v>1</v>
      </c>
      <c r="B17" s="51" t="s">
        <v>102</v>
      </c>
      <c r="C17" s="64" t="s">
        <v>103</v>
      </c>
      <c r="D17" s="64"/>
      <c r="E17" s="64"/>
      <c r="F17" s="64"/>
      <c r="G17" s="64"/>
      <c r="H17" s="64"/>
      <c r="I17" s="64"/>
      <c r="J17" s="64"/>
      <c r="K17" s="64"/>
      <c r="L17" s="64"/>
      <c r="M17" s="64"/>
      <c r="N17" s="64"/>
      <c r="O17" s="64"/>
      <c r="P17" s="64"/>
      <c r="Q17" s="64"/>
      <c r="R17" s="64"/>
      <c r="S17" s="64"/>
    </row>
    <row r="18" spans="1:19" x14ac:dyDescent="0.25">
      <c r="A18" s="51">
        <v>2</v>
      </c>
      <c r="B18" s="51" t="s">
        <v>104</v>
      </c>
      <c r="C18" s="64" t="s">
        <v>105</v>
      </c>
      <c r="D18" s="64"/>
      <c r="E18" s="64"/>
      <c r="F18" s="64"/>
      <c r="G18" s="64"/>
      <c r="H18" s="64"/>
      <c r="I18" s="64"/>
      <c r="J18" s="64"/>
      <c r="K18" s="64"/>
      <c r="L18" s="64"/>
      <c r="M18" s="64"/>
      <c r="N18" s="64"/>
      <c r="O18" s="64"/>
      <c r="P18" s="64"/>
      <c r="Q18" s="64"/>
      <c r="R18" s="64"/>
      <c r="S18" s="64"/>
    </row>
    <row r="19" spans="1:19" x14ac:dyDescent="0.25">
      <c r="A19" s="45"/>
      <c r="B19" s="45"/>
      <c r="C19" s="64"/>
      <c r="D19" s="64"/>
      <c r="E19" s="64"/>
      <c r="F19" s="64"/>
      <c r="G19" s="64"/>
      <c r="H19" s="64"/>
      <c r="I19" s="64"/>
      <c r="J19" s="64"/>
      <c r="K19" s="64"/>
      <c r="L19" s="64"/>
      <c r="M19" s="64"/>
      <c r="N19" s="64"/>
      <c r="O19" s="64"/>
      <c r="P19" s="64"/>
      <c r="Q19" s="64"/>
      <c r="R19" s="64"/>
      <c r="S19" s="64"/>
    </row>
    <row r="20" spans="1:19" x14ac:dyDescent="0.25">
      <c r="A20" s="45"/>
      <c r="B20" s="45"/>
      <c r="C20" s="64"/>
      <c r="D20" s="64"/>
      <c r="E20" s="64"/>
      <c r="F20" s="64"/>
      <c r="G20" s="64"/>
      <c r="H20" s="64"/>
      <c r="I20" s="64"/>
      <c r="J20" s="64"/>
      <c r="K20" s="64"/>
      <c r="L20" s="64"/>
      <c r="M20" s="64"/>
      <c r="N20" s="64"/>
      <c r="O20" s="64"/>
      <c r="P20" s="64"/>
      <c r="Q20" s="64"/>
      <c r="R20" s="64"/>
      <c r="S20" s="64"/>
    </row>
    <row r="21" spans="1:19" x14ac:dyDescent="0.25">
      <c r="A21" s="45"/>
      <c r="B21" s="45"/>
      <c r="C21" s="64"/>
      <c r="D21" s="64"/>
      <c r="E21" s="64"/>
      <c r="F21" s="64"/>
      <c r="G21" s="64"/>
      <c r="H21" s="64"/>
      <c r="I21" s="64"/>
      <c r="J21" s="64"/>
      <c r="K21" s="64"/>
      <c r="L21" s="64"/>
      <c r="M21" s="64"/>
      <c r="N21" s="64"/>
      <c r="O21" s="64"/>
      <c r="P21" s="64"/>
      <c r="Q21" s="64"/>
      <c r="R21" s="64"/>
      <c r="S21" s="64"/>
    </row>
    <row r="22" spans="1:19" x14ac:dyDescent="0.25">
      <c r="A22" s="45"/>
      <c r="B22" s="45"/>
      <c r="C22" s="64"/>
      <c r="D22" s="64"/>
      <c r="E22" s="64"/>
      <c r="F22" s="64"/>
      <c r="G22" s="64"/>
      <c r="H22" s="64"/>
      <c r="I22" s="64"/>
      <c r="J22" s="64"/>
      <c r="K22" s="64"/>
      <c r="L22" s="64"/>
      <c r="M22" s="64"/>
      <c r="N22" s="64"/>
      <c r="O22" s="64"/>
      <c r="P22" s="64"/>
      <c r="Q22" s="64"/>
      <c r="R22" s="64"/>
      <c r="S22" s="64"/>
    </row>
    <row r="23" spans="1:19" x14ac:dyDescent="0.25">
      <c r="A23" s="45"/>
      <c r="B23" s="45"/>
      <c r="C23" s="64"/>
      <c r="D23" s="64"/>
      <c r="E23" s="64"/>
      <c r="F23" s="64"/>
      <c r="G23" s="64"/>
      <c r="H23" s="64"/>
      <c r="I23" s="64"/>
      <c r="J23" s="64"/>
      <c r="K23" s="64"/>
      <c r="L23" s="64"/>
      <c r="M23" s="64"/>
      <c r="N23" s="64"/>
      <c r="O23" s="64"/>
      <c r="P23" s="64"/>
      <c r="Q23" s="64"/>
      <c r="R23" s="64"/>
      <c r="S23" s="64"/>
    </row>
    <row r="24" spans="1:19" x14ac:dyDescent="0.25">
      <c r="A24" s="45"/>
      <c r="B24" s="45"/>
      <c r="C24" s="64"/>
      <c r="D24" s="64"/>
      <c r="E24" s="64"/>
      <c r="F24" s="64"/>
      <c r="G24" s="64"/>
      <c r="H24" s="64"/>
      <c r="I24" s="64"/>
      <c r="J24" s="64"/>
      <c r="K24" s="64"/>
      <c r="L24" s="64"/>
      <c r="M24" s="64"/>
      <c r="N24" s="64"/>
      <c r="O24" s="64"/>
      <c r="P24" s="64"/>
      <c r="Q24" s="64"/>
      <c r="R24" s="64"/>
      <c r="S24" s="64"/>
    </row>
    <row r="25" spans="1:19" x14ac:dyDescent="0.25">
      <c r="A25" s="45"/>
      <c r="B25" s="45"/>
      <c r="C25" s="64"/>
      <c r="D25" s="64"/>
      <c r="E25" s="64"/>
      <c r="F25" s="64"/>
      <c r="G25" s="64"/>
      <c r="H25" s="64"/>
      <c r="I25" s="64"/>
      <c r="J25" s="64"/>
      <c r="K25" s="64"/>
      <c r="L25" s="64"/>
      <c r="M25" s="64"/>
      <c r="N25" s="64"/>
      <c r="O25" s="64"/>
      <c r="P25" s="64"/>
      <c r="Q25" s="64"/>
      <c r="R25" s="64"/>
      <c r="S25" s="64"/>
    </row>
    <row r="26" spans="1:19" x14ac:dyDescent="0.25">
      <c r="A26" s="45"/>
      <c r="B26" s="45"/>
      <c r="C26" s="64"/>
      <c r="D26" s="64"/>
      <c r="E26" s="64"/>
      <c r="F26" s="64"/>
      <c r="G26" s="64"/>
      <c r="H26" s="64"/>
      <c r="I26" s="64"/>
      <c r="J26" s="64"/>
      <c r="K26" s="64"/>
      <c r="L26" s="64"/>
      <c r="M26" s="64"/>
      <c r="N26" s="64"/>
      <c r="O26" s="64"/>
      <c r="P26" s="64"/>
      <c r="Q26" s="64"/>
      <c r="R26" s="64"/>
      <c r="S26" s="64"/>
    </row>
    <row r="27" spans="1:19" x14ac:dyDescent="0.25">
      <c r="A27" s="45"/>
      <c r="B27" s="45"/>
      <c r="C27" s="64"/>
      <c r="D27" s="64"/>
      <c r="E27" s="64"/>
      <c r="F27" s="64"/>
      <c r="G27" s="64"/>
      <c r="H27" s="64"/>
      <c r="I27" s="64"/>
      <c r="J27" s="64"/>
      <c r="K27" s="64"/>
      <c r="L27" s="64"/>
      <c r="M27" s="64"/>
      <c r="N27" s="64"/>
      <c r="O27" s="64"/>
      <c r="P27" s="64"/>
      <c r="Q27" s="64"/>
      <c r="R27" s="64"/>
      <c r="S27" s="64"/>
    </row>
    <row r="28" spans="1:19" x14ac:dyDescent="0.25">
      <c r="A28" s="45"/>
      <c r="B28" s="45"/>
      <c r="C28" s="64"/>
      <c r="D28" s="64"/>
      <c r="E28" s="64"/>
      <c r="F28" s="64"/>
      <c r="G28" s="64"/>
      <c r="H28" s="64"/>
      <c r="I28" s="64"/>
      <c r="J28" s="64"/>
      <c r="K28" s="64"/>
      <c r="L28" s="64"/>
      <c r="M28" s="64"/>
      <c r="N28" s="64"/>
      <c r="O28" s="64"/>
      <c r="P28" s="64"/>
      <c r="Q28" s="64"/>
      <c r="R28" s="64"/>
      <c r="S28" s="64"/>
    </row>
    <row r="30" spans="1:19" x14ac:dyDescent="0.25">
      <c r="A30" s="52" t="s">
        <v>98</v>
      </c>
      <c r="B30" s="52"/>
      <c r="C30" s="52"/>
    </row>
  </sheetData>
  <sheetProtection algorithmName="SHA-512" hashValue="lZAkQNh8eKvuDqWEJcdL+3U/6fwJpBATJabCujZ1XS7/YKZoY6pLE0PbMHgFU5eSX6uznkYtZz5PJXUAeTZ8mw==" saltValue="PAZoP4TXOocoG+d5SeJz2w==" spinCount="100000" sheet="1" objects="1" scenarios="1"/>
  <mergeCells count="23">
    <mergeCell ref="C26:S26"/>
    <mergeCell ref="C27:S27"/>
    <mergeCell ref="C20:S20"/>
    <mergeCell ref="C21:S21"/>
    <mergeCell ref="C22:S22"/>
    <mergeCell ref="C23:S23"/>
    <mergeCell ref="C24:S24"/>
    <mergeCell ref="A30:C30"/>
    <mergeCell ref="A1:A2"/>
    <mergeCell ref="B1:S2"/>
    <mergeCell ref="A3:S4"/>
    <mergeCell ref="A5:S6"/>
    <mergeCell ref="C15:S15"/>
    <mergeCell ref="C16:S16"/>
    <mergeCell ref="B8:S8"/>
    <mergeCell ref="B9:S9"/>
    <mergeCell ref="B10:S10"/>
    <mergeCell ref="A12:S13"/>
    <mergeCell ref="C28:S28"/>
    <mergeCell ref="C17:S17"/>
    <mergeCell ref="C18:S18"/>
    <mergeCell ref="C19:S19"/>
    <mergeCell ref="C25:S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6E6BA-20A1-4F09-92B0-735643125D88}">
  <sheetPr codeName="Sheet2"/>
  <dimension ref="A2:AE135"/>
  <sheetViews>
    <sheetView showGridLines="0" topLeftCell="A101" zoomScale="90" zoomScaleNormal="90" workbookViewId="0">
      <selection activeCell="D133" sqref="D133"/>
    </sheetView>
  </sheetViews>
  <sheetFormatPr defaultRowHeight="15" x14ac:dyDescent="0.25"/>
  <cols>
    <col min="2" max="2" width="10.140625" customWidth="1"/>
    <col min="3" max="3" width="9.140625" customWidth="1"/>
    <col min="4" max="4" width="10.85546875" customWidth="1"/>
    <col min="17" max="18" width="9.28515625" customWidth="1"/>
  </cols>
  <sheetData>
    <row r="2" spans="1:31" x14ac:dyDescent="0.25">
      <c r="A2" s="100" t="s">
        <v>52</v>
      </c>
      <c r="B2" s="100"/>
      <c r="C2" s="100"/>
      <c r="D2" s="100"/>
      <c r="E2" s="100"/>
      <c r="F2" s="100"/>
      <c r="G2" s="100"/>
      <c r="H2" s="100"/>
      <c r="I2" s="100"/>
      <c r="J2" s="100"/>
      <c r="K2" s="100"/>
      <c r="L2" s="100"/>
      <c r="M2" s="100"/>
    </row>
    <row r="3" spans="1:31" x14ac:dyDescent="0.25">
      <c r="A3" s="100"/>
      <c r="B3" s="100"/>
      <c r="C3" s="100"/>
      <c r="D3" s="100"/>
      <c r="E3" s="100"/>
      <c r="F3" s="100"/>
      <c r="G3" s="100"/>
      <c r="H3" s="100"/>
      <c r="I3" s="100"/>
      <c r="J3" s="100"/>
      <c r="K3" s="100"/>
      <c r="L3" s="100"/>
      <c r="M3" s="100"/>
    </row>
    <row r="4" spans="1:31" x14ac:dyDescent="0.25">
      <c r="A4" s="80" t="s">
        <v>88</v>
      </c>
      <c r="B4" s="101"/>
      <c r="C4" s="101"/>
      <c r="D4" s="101"/>
      <c r="E4" s="101"/>
      <c r="F4" s="101"/>
      <c r="G4" s="101"/>
      <c r="H4" s="101"/>
      <c r="I4" s="101"/>
      <c r="J4" s="101"/>
      <c r="K4" s="101"/>
      <c r="L4" s="101"/>
      <c r="M4" s="101"/>
    </row>
    <row r="5" spans="1:31" x14ac:dyDescent="0.25">
      <c r="A5" s="101"/>
      <c r="B5" s="101"/>
      <c r="C5" s="101"/>
      <c r="D5" s="101"/>
      <c r="E5" s="101"/>
      <c r="F5" s="101"/>
      <c r="G5" s="101"/>
      <c r="H5" s="101"/>
      <c r="I5" s="101"/>
      <c r="J5" s="101"/>
      <c r="K5" s="101"/>
      <c r="L5" s="101"/>
      <c r="M5" s="101"/>
    </row>
    <row r="6" spans="1:31" x14ac:dyDescent="0.25">
      <c r="A6" s="101"/>
      <c r="B6" s="101"/>
      <c r="C6" s="101"/>
      <c r="D6" s="101"/>
      <c r="E6" s="101"/>
      <c r="F6" s="101"/>
      <c r="G6" s="101"/>
      <c r="H6" s="101"/>
      <c r="I6" s="101"/>
      <c r="J6" s="101"/>
      <c r="K6" s="101"/>
      <c r="L6" s="101"/>
      <c r="M6" s="101"/>
    </row>
    <row r="7" spans="1:31" x14ac:dyDescent="0.25">
      <c r="A7" s="101"/>
      <c r="B7" s="101"/>
      <c r="C7" s="101"/>
      <c r="D7" s="101"/>
      <c r="E7" s="101"/>
      <c r="F7" s="101"/>
      <c r="G7" s="101"/>
      <c r="H7" s="101"/>
      <c r="I7" s="101"/>
      <c r="J7" s="101"/>
      <c r="K7" s="101"/>
      <c r="L7" s="101"/>
      <c r="M7" s="101"/>
    </row>
    <row r="8" spans="1:31" x14ac:dyDescent="0.25">
      <c r="A8" s="101"/>
      <c r="B8" s="101"/>
      <c r="C8" s="101"/>
      <c r="D8" s="101"/>
      <c r="E8" s="101"/>
      <c r="F8" s="101"/>
      <c r="G8" s="101"/>
      <c r="H8" s="101"/>
      <c r="I8" s="101"/>
      <c r="J8" s="101"/>
      <c r="K8" s="101"/>
      <c r="L8" s="101"/>
      <c r="M8" s="101"/>
    </row>
    <row r="9" spans="1:31" x14ac:dyDescent="0.25">
      <c r="A9" s="101"/>
      <c r="B9" s="101"/>
      <c r="C9" s="101"/>
      <c r="D9" s="101"/>
      <c r="E9" s="101"/>
      <c r="F9" s="101"/>
      <c r="G9" s="101"/>
      <c r="H9" s="101"/>
      <c r="I9" s="101"/>
      <c r="J9" s="101"/>
      <c r="K9" s="101"/>
      <c r="L9" s="101"/>
      <c r="M9" s="101"/>
    </row>
    <row r="10" spans="1:31" x14ac:dyDescent="0.25">
      <c r="A10" s="101"/>
      <c r="B10" s="101"/>
      <c r="C10" s="101"/>
      <c r="D10" s="101"/>
      <c r="E10" s="101"/>
      <c r="F10" s="101"/>
      <c r="G10" s="101"/>
      <c r="H10" s="101"/>
      <c r="I10" s="101"/>
      <c r="J10" s="101"/>
      <c r="K10" s="101"/>
      <c r="L10" s="101"/>
      <c r="M10" s="101"/>
    </row>
    <row r="12" spans="1:31" x14ac:dyDescent="0.25">
      <c r="A12" s="78" t="s">
        <v>80</v>
      </c>
      <c r="B12" s="78"/>
      <c r="C12" s="78"/>
      <c r="D12" s="78"/>
      <c r="E12" s="78"/>
      <c r="F12" s="78"/>
      <c r="G12" s="78"/>
      <c r="H12" s="78"/>
      <c r="I12" s="78"/>
      <c r="J12" s="78"/>
      <c r="K12" s="78"/>
      <c r="L12" s="78"/>
      <c r="M12" s="78"/>
      <c r="N12" s="73" t="s">
        <v>87</v>
      </c>
      <c r="O12" s="73"/>
      <c r="P12" s="73"/>
      <c r="Q12" s="73"/>
      <c r="R12" s="73"/>
      <c r="S12" s="73"/>
      <c r="T12" s="73"/>
      <c r="U12" s="73"/>
      <c r="V12" s="73"/>
      <c r="W12" s="73"/>
      <c r="X12" s="73"/>
    </row>
    <row r="13" spans="1:31" ht="14.85" customHeight="1" x14ac:dyDescent="0.25">
      <c r="A13" s="64" t="s">
        <v>106</v>
      </c>
      <c r="B13" s="92"/>
      <c r="C13" s="92"/>
      <c r="D13" s="92"/>
      <c r="E13" s="92"/>
      <c r="F13" s="92"/>
      <c r="G13" s="92"/>
      <c r="H13" s="92"/>
      <c r="I13" s="92"/>
      <c r="J13" s="92"/>
      <c r="K13" s="92"/>
      <c r="L13" s="92"/>
      <c r="M13" s="92"/>
      <c r="N13" s="74" t="s">
        <v>91</v>
      </c>
      <c r="O13" s="74"/>
      <c r="P13" s="74"/>
      <c r="Q13" s="74"/>
      <c r="R13" s="74"/>
      <c r="S13" s="74"/>
      <c r="T13" s="74"/>
      <c r="U13" s="74"/>
      <c r="V13" s="74"/>
      <c r="W13" s="74"/>
      <c r="X13" s="74"/>
    </row>
    <row r="14" spans="1:31" x14ac:dyDescent="0.25">
      <c r="A14" s="92"/>
      <c r="B14" s="92"/>
      <c r="C14" s="92"/>
      <c r="D14" s="92"/>
      <c r="E14" s="92"/>
      <c r="F14" s="92"/>
      <c r="G14" s="92"/>
      <c r="H14" s="92"/>
      <c r="I14" s="92"/>
      <c r="J14" s="92"/>
      <c r="K14" s="92"/>
      <c r="L14" s="92"/>
      <c r="M14" s="92"/>
      <c r="N14" s="74"/>
      <c r="O14" s="74"/>
      <c r="P14" s="74"/>
      <c r="Q14" s="74"/>
      <c r="R14" s="74"/>
      <c r="S14" s="74"/>
      <c r="T14" s="74"/>
      <c r="U14" s="74"/>
      <c r="V14" s="74"/>
      <c r="W14" s="74"/>
      <c r="X14" s="74"/>
    </row>
    <row r="15" spans="1:31" x14ac:dyDescent="0.25">
      <c r="A15" s="92"/>
      <c r="B15" s="92"/>
      <c r="C15" s="92"/>
      <c r="D15" s="92"/>
      <c r="E15" s="92"/>
      <c r="F15" s="92"/>
      <c r="G15" s="92"/>
      <c r="H15" s="92"/>
      <c r="I15" s="92"/>
      <c r="J15" s="92"/>
      <c r="K15" s="92"/>
      <c r="L15" s="92"/>
      <c r="M15" s="92"/>
      <c r="N15" s="74"/>
      <c r="O15" s="74"/>
      <c r="P15" s="74"/>
      <c r="Q15" s="74"/>
      <c r="R15" s="74"/>
      <c r="S15" s="74"/>
      <c r="T15" s="74"/>
      <c r="U15" s="74"/>
      <c r="V15" s="74"/>
      <c r="W15" s="74"/>
      <c r="X15" s="74"/>
    </row>
    <row r="16" spans="1:31" x14ac:dyDescent="0.25">
      <c r="A16" s="92"/>
      <c r="B16" s="92"/>
      <c r="C16" s="92"/>
      <c r="D16" s="92"/>
      <c r="E16" s="92"/>
      <c r="F16" s="92"/>
      <c r="G16" s="92"/>
      <c r="H16" s="92"/>
      <c r="I16" s="92"/>
      <c r="J16" s="92"/>
      <c r="K16" s="92"/>
      <c r="L16" s="92"/>
      <c r="M16" s="92"/>
      <c r="N16" s="74"/>
      <c r="O16" s="74"/>
      <c r="P16" s="74"/>
      <c r="Q16" s="74"/>
      <c r="R16" s="74"/>
      <c r="S16" s="74"/>
      <c r="T16" s="74"/>
      <c r="U16" s="74"/>
      <c r="V16" s="74"/>
      <c r="W16" s="74"/>
      <c r="X16" s="74"/>
      <c r="Y16" s="18"/>
      <c r="Z16" s="18"/>
      <c r="AA16" s="18"/>
      <c r="AB16" s="18"/>
      <c r="AC16" s="18"/>
      <c r="AD16" s="18"/>
      <c r="AE16" s="18"/>
    </row>
    <row r="17" spans="1:31" x14ac:dyDescent="0.25">
      <c r="A17" s="92"/>
      <c r="B17" s="92"/>
      <c r="C17" s="92"/>
      <c r="D17" s="92"/>
      <c r="E17" s="92"/>
      <c r="F17" s="92"/>
      <c r="G17" s="92"/>
      <c r="H17" s="92"/>
      <c r="I17" s="92"/>
      <c r="J17" s="92"/>
      <c r="K17" s="92"/>
      <c r="L17" s="92"/>
      <c r="M17" s="92"/>
      <c r="N17" s="74"/>
      <c r="O17" s="74"/>
      <c r="P17" s="74"/>
      <c r="Q17" s="74"/>
      <c r="R17" s="74"/>
      <c r="S17" s="74"/>
      <c r="T17" s="74"/>
      <c r="U17" s="74"/>
      <c r="V17" s="74"/>
      <c r="W17" s="74"/>
      <c r="X17" s="74"/>
      <c r="Y17" s="18"/>
      <c r="Z17" s="18"/>
      <c r="AA17" s="18"/>
      <c r="AB17" s="18"/>
      <c r="AC17" s="18"/>
      <c r="AD17" s="18"/>
      <c r="AE17" s="18"/>
    </row>
    <row r="18" spans="1:31" x14ac:dyDescent="0.25">
      <c r="A18" s="92"/>
      <c r="B18" s="92"/>
      <c r="C18" s="92"/>
      <c r="D18" s="92"/>
      <c r="E18" s="92"/>
      <c r="F18" s="92"/>
      <c r="G18" s="92"/>
      <c r="H18" s="92"/>
      <c r="I18" s="92"/>
      <c r="J18" s="92"/>
      <c r="K18" s="92"/>
      <c r="L18" s="92"/>
      <c r="M18" s="92"/>
      <c r="N18" s="74"/>
      <c r="O18" s="74"/>
      <c r="P18" s="74"/>
      <c r="Q18" s="74"/>
      <c r="R18" s="74"/>
      <c r="S18" s="74"/>
      <c r="T18" s="74"/>
      <c r="U18" s="74"/>
      <c r="V18" s="74"/>
      <c r="W18" s="74"/>
      <c r="X18" s="74"/>
      <c r="Y18" s="18"/>
      <c r="Z18" s="18"/>
      <c r="AA18" s="18"/>
      <c r="AB18" s="18"/>
      <c r="AC18" s="18"/>
      <c r="AD18" s="18"/>
      <c r="AE18" s="18"/>
    </row>
    <row r="19" spans="1:31" x14ac:dyDescent="0.25">
      <c r="A19" s="92"/>
      <c r="B19" s="92"/>
      <c r="C19" s="92"/>
      <c r="D19" s="92"/>
      <c r="E19" s="92"/>
      <c r="F19" s="92"/>
      <c r="G19" s="92"/>
      <c r="H19" s="92"/>
      <c r="I19" s="92"/>
      <c r="J19" s="92"/>
      <c r="K19" s="92"/>
      <c r="L19" s="92"/>
      <c r="M19" s="92"/>
      <c r="N19" s="74"/>
      <c r="O19" s="74"/>
      <c r="P19" s="74"/>
      <c r="Q19" s="74"/>
      <c r="R19" s="74"/>
      <c r="S19" s="74"/>
      <c r="T19" s="74"/>
      <c r="U19" s="74"/>
      <c r="V19" s="74"/>
      <c r="W19" s="74"/>
      <c r="X19" s="74"/>
      <c r="Y19" s="18"/>
      <c r="Z19" s="18"/>
      <c r="AA19" s="18"/>
      <c r="AB19" s="18"/>
      <c r="AC19" s="18"/>
      <c r="AD19" s="18"/>
      <c r="AE19" s="18"/>
    </row>
    <row r="20" spans="1:31" x14ac:dyDescent="0.25">
      <c r="T20" s="18"/>
      <c r="U20" s="18"/>
      <c r="V20" s="18"/>
      <c r="W20" s="18"/>
      <c r="X20" s="18"/>
      <c r="Y20" s="18"/>
      <c r="Z20" s="18"/>
      <c r="AA20" s="18"/>
      <c r="AB20" s="18"/>
      <c r="AC20" s="18"/>
      <c r="AD20" s="18"/>
      <c r="AE20" s="18"/>
    </row>
    <row r="21" spans="1:31" x14ac:dyDescent="0.25">
      <c r="A21" s="80" t="s">
        <v>78</v>
      </c>
      <c r="B21" s="101"/>
      <c r="C21" s="101"/>
      <c r="D21" s="101"/>
      <c r="E21" s="101"/>
      <c r="F21" s="101"/>
      <c r="G21" s="101"/>
      <c r="H21" s="101"/>
      <c r="I21" s="101"/>
      <c r="J21" s="101"/>
      <c r="K21" s="101"/>
      <c r="L21" s="101"/>
      <c r="M21" s="101"/>
    </row>
    <row r="22" spans="1:31" x14ac:dyDescent="0.25">
      <c r="A22" s="101"/>
      <c r="B22" s="101"/>
      <c r="C22" s="101"/>
      <c r="D22" s="101"/>
      <c r="E22" s="101"/>
      <c r="F22" s="101"/>
      <c r="G22" s="101"/>
      <c r="H22" s="101"/>
      <c r="I22" s="101"/>
      <c r="J22" s="101"/>
      <c r="K22" s="101"/>
      <c r="L22" s="101"/>
      <c r="M22" s="101"/>
    </row>
    <row r="23" spans="1:31" x14ac:dyDescent="0.25">
      <c r="A23" s="101"/>
      <c r="B23" s="101"/>
      <c r="C23" s="101"/>
      <c r="D23" s="101"/>
      <c r="E23" s="101"/>
      <c r="F23" s="101"/>
      <c r="G23" s="101"/>
      <c r="H23" s="101"/>
      <c r="I23" s="101"/>
      <c r="J23" s="101"/>
      <c r="K23" s="101"/>
      <c r="L23" s="101"/>
      <c r="M23" s="101"/>
    </row>
    <row r="24" spans="1:31" x14ac:dyDescent="0.25">
      <c r="A24" s="101"/>
      <c r="B24" s="101"/>
      <c r="C24" s="101"/>
      <c r="D24" s="101"/>
      <c r="E24" s="101"/>
      <c r="F24" s="101"/>
      <c r="G24" s="101"/>
      <c r="H24" s="101"/>
      <c r="I24" s="101"/>
      <c r="J24" s="101"/>
      <c r="K24" s="101"/>
      <c r="L24" s="101"/>
      <c r="M24" s="101"/>
    </row>
    <row r="25" spans="1:31" x14ac:dyDescent="0.25">
      <c r="A25" s="101"/>
      <c r="B25" s="101"/>
      <c r="C25" s="101"/>
      <c r="D25" s="101"/>
      <c r="E25" s="101"/>
      <c r="F25" s="101"/>
      <c r="G25" s="101"/>
      <c r="H25" s="101"/>
      <c r="I25" s="101"/>
      <c r="J25" s="101"/>
      <c r="K25" s="101"/>
      <c r="L25" s="101"/>
      <c r="M25" s="101"/>
    </row>
    <row r="26" spans="1:31" x14ac:dyDescent="0.25">
      <c r="A26" s="101"/>
      <c r="B26" s="101"/>
      <c r="C26" s="101"/>
      <c r="D26" s="101"/>
      <c r="E26" s="101"/>
      <c r="F26" s="101"/>
      <c r="G26" s="101"/>
      <c r="H26" s="101"/>
      <c r="I26" s="101"/>
      <c r="J26" s="101"/>
      <c r="K26" s="101"/>
      <c r="L26" s="101"/>
      <c r="M26" s="101"/>
    </row>
    <row r="27" spans="1:31" x14ac:dyDescent="0.25">
      <c r="A27" s="101"/>
      <c r="B27" s="101"/>
      <c r="C27" s="101"/>
      <c r="D27" s="101"/>
      <c r="E27" s="101"/>
      <c r="F27" s="101"/>
      <c r="G27" s="101"/>
      <c r="H27" s="101"/>
      <c r="I27" s="101"/>
      <c r="J27" s="101"/>
      <c r="K27" s="101"/>
      <c r="L27" s="101"/>
      <c r="M27" s="101"/>
    </row>
    <row r="29" spans="1:31" x14ac:dyDescent="0.25">
      <c r="A29" s="78" t="s">
        <v>81</v>
      </c>
      <c r="B29" s="78"/>
      <c r="C29" s="78"/>
      <c r="D29" s="78"/>
      <c r="E29" s="78"/>
      <c r="F29" s="78"/>
      <c r="G29" s="78"/>
      <c r="H29" s="78"/>
      <c r="I29" s="78"/>
      <c r="J29" s="78"/>
      <c r="K29" s="78"/>
      <c r="L29" s="78"/>
      <c r="M29" s="78"/>
      <c r="N29" s="75" t="s">
        <v>87</v>
      </c>
      <c r="O29" s="75"/>
      <c r="P29" s="75"/>
      <c r="Q29" s="75"/>
      <c r="R29" s="75"/>
      <c r="S29" s="75"/>
      <c r="T29" s="75"/>
      <c r="U29" s="75"/>
      <c r="V29" s="75"/>
      <c r="W29" s="75"/>
      <c r="X29" s="75"/>
    </row>
    <row r="30" spans="1:31" ht="14.65" customHeight="1" x14ac:dyDescent="0.25">
      <c r="A30" s="92" t="s">
        <v>107</v>
      </c>
      <c r="B30" s="92"/>
      <c r="C30" s="92"/>
      <c r="D30" s="92"/>
      <c r="E30" s="92"/>
      <c r="F30" s="92"/>
      <c r="G30" s="92"/>
      <c r="H30" s="92"/>
      <c r="I30" s="92"/>
      <c r="J30" s="92"/>
      <c r="K30" s="92"/>
      <c r="L30" s="92"/>
      <c r="M30" s="92"/>
      <c r="N30" s="76" t="s">
        <v>92</v>
      </c>
      <c r="O30" s="76"/>
      <c r="P30" s="76"/>
      <c r="Q30" s="76"/>
      <c r="R30" s="76"/>
      <c r="S30" s="76"/>
      <c r="T30" s="76"/>
      <c r="U30" s="76"/>
      <c r="V30" s="76"/>
      <c r="W30" s="76"/>
      <c r="X30" s="76"/>
    </row>
    <row r="31" spans="1:31" ht="14.85" customHeight="1" x14ac:dyDescent="0.25">
      <c r="A31" s="92"/>
      <c r="B31" s="92"/>
      <c r="C31" s="92"/>
      <c r="D31" s="92"/>
      <c r="E31" s="92"/>
      <c r="F31" s="92"/>
      <c r="G31" s="92"/>
      <c r="H31" s="92"/>
      <c r="I31" s="92"/>
      <c r="J31" s="92"/>
      <c r="K31" s="92"/>
      <c r="L31" s="92"/>
      <c r="M31" s="92"/>
      <c r="N31" s="76"/>
      <c r="O31" s="76"/>
      <c r="P31" s="76"/>
      <c r="Q31" s="76"/>
      <c r="R31" s="76"/>
      <c r="S31" s="76"/>
      <c r="T31" s="76"/>
      <c r="U31" s="76"/>
      <c r="V31" s="76"/>
      <c r="W31" s="76"/>
      <c r="X31" s="76"/>
    </row>
    <row r="32" spans="1:31" x14ac:dyDescent="0.25">
      <c r="A32" s="92"/>
      <c r="B32" s="92"/>
      <c r="C32" s="92"/>
      <c r="D32" s="92"/>
      <c r="E32" s="92"/>
      <c r="F32" s="92"/>
      <c r="G32" s="92"/>
      <c r="H32" s="92"/>
      <c r="I32" s="92"/>
      <c r="J32" s="92"/>
      <c r="K32" s="92"/>
      <c r="L32" s="92"/>
      <c r="M32" s="92"/>
      <c r="N32" s="76"/>
      <c r="O32" s="76"/>
      <c r="P32" s="76"/>
      <c r="Q32" s="76"/>
      <c r="R32" s="76"/>
      <c r="S32" s="76"/>
      <c r="T32" s="76"/>
      <c r="U32" s="76"/>
      <c r="V32" s="76"/>
      <c r="W32" s="76"/>
      <c r="X32" s="76"/>
    </row>
    <row r="33" spans="1:31" x14ac:dyDescent="0.25">
      <c r="A33" s="92"/>
      <c r="B33" s="92"/>
      <c r="C33" s="92"/>
      <c r="D33" s="92"/>
      <c r="E33" s="92"/>
      <c r="F33" s="92"/>
      <c r="G33" s="92"/>
      <c r="H33" s="92"/>
      <c r="I33" s="92"/>
      <c r="J33" s="92"/>
      <c r="K33" s="92"/>
      <c r="L33" s="92"/>
      <c r="M33" s="92"/>
      <c r="N33" s="76"/>
      <c r="O33" s="76"/>
      <c r="P33" s="76"/>
      <c r="Q33" s="76"/>
      <c r="R33" s="76"/>
      <c r="S33" s="76"/>
      <c r="T33" s="76"/>
      <c r="U33" s="76"/>
      <c r="V33" s="76"/>
      <c r="W33" s="76"/>
      <c r="X33" s="76"/>
      <c r="Y33" s="18"/>
      <c r="Z33" s="18"/>
      <c r="AA33" s="18"/>
      <c r="AB33" s="18"/>
      <c r="AC33" s="18"/>
      <c r="AD33" s="18"/>
      <c r="AE33" s="18"/>
    </row>
    <row r="34" spans="1:31" x14ac:dyDescent="0.25">
      <c r="A34" s="92"/>
      <c r="B34" s="92"/>
      <c r="C34" s="92"/>
      <c r="D34" s="92"/>
      <c r="E34" s="92"/>
      <c r="F34" s="92"/>
      <c r="G34" s="92"/>
      <c r="H34" s="92"/>
      <c r="I34" s="92"/>
      <c r="J34" s="92"/>
      <c r="K34" s="92"/>
      <c r="L34" s="92"/>
      <c r="M34" s="92"/>
      <c r="N34" s="76"/>
      <c r="O34" s="76"/>
      <c r="P34" s="76"/>
      <c r="Q34" s="76"/>
      <c r="R34" s="76"/>
      <c r="S34" s="76"/>
      <c r="T34" s="76"/>
      <c r="U34" s="76"/>
      <c r="V34" s="76"/>
      <c r="W34" s="76"/>
      <c r="X34" s="76"/>
      <c r="Y34" s="18"/>
      <c r="Z34" s="18"/>
      <c r="AA34" s="18"/>
      <c r="AB34" s="18"/>
      <c r="AC34" s="18"/>
      <c r="AD34" s="18"/>
      <c r="AE34" s="18"/>
    </row>
    <row r="35" spans="1:31" x14ac:dyDescent="0.25">
      <c r="A35" s="92"/>
      <c r="B35" s="92"/>
      <c r="C35" s="92"/>
      <c r="D35" s="92"/>
      <c r="E35" s="92"/>
      <c r="F35" s="92"/>
      <c r="G35" s="92"/>
      <c r="H35" s="92"/>
      <c r="I35" s="92"/>
      <c r="J35" s="92"/>
      <c r="K35" s="92"/>
      <c r="L35" s="92"/>
      <c r="M35" s="92"/>
      <c r="N35" s="76"/>
      <c r="O35" s="76"/>
      <c r="P35" s="76"/>
      <c r="Q35" s="76"/>
      <c r="R35" s="76"/>
      <c r="S35" s="76"/>
      <c r="T35" s="76"/>
      <c r="U35" s="76"/>
      <c r="V35" s="76"/>
      <c r="W35" s="76"/>
      <c r="X35" s="76"/>
      <c r="Y35" s="18"/>
      <c r="Z35" s="18"/>
      <c r="AA35" s="18"/>
      <c r="AB35" s="18"/>
      <c r="AC35" s="18"/>
      <c r="AD35" s="18"/>
      <c r="AE35" s="18"/>
    </row>
    <row r="36" spans="1:31" x14ac:dyDescent="0.25">
      <c r="A36" s="92"/>
      <c r="B36" s="92"/>
      <c r="C36" s="92"/>
      <c r="D36" s="92"/>
      <c r="E36" s="92"/>
      <c r="F36" s="92"/>
      <c r="G36" s="92"/>
      <c r="H36" s="92"/>
      <c r="I36" s="92"/>
      <c r="J36" s="92"/>
      <c r="K36" s="92"/>
      <c r="L36" s="92"/>
      <c r="M36" s="92"/>
      <c r="N36" s="76"/>
      <c r="O36" s="76"/>
      <c r="P36" s="76"/>
      <c r="Q36" s="76"/>
      <c r="R36" s="76"/>
      <c r="S36" s="76"/>
      <c r="T36" s="76"/>
      <c r="U36" s="76"/>
      <c r="V36" s="76"/>
      <c r="W36" s="76"/>
      <c r="X36" s="76"/>
      <c r="Y36" s="18"/>
      <c r="Z36" s="18"/>
      <c r="AA36" s="18"/>
      <c r="AB36" s="18"/>
      <c r="AC36" s="18"/>
      <c r="AD36" s="18"/>
      <c r="AE36" s="18"/>
    </row>
    <row r="37" spans="1:31" ht="14.45" customHeight="1" x14ac:dyDescent="0.25">
      <c r="A37" s="78" t="s">
        <v>36</v>
      </c>
      <c r="B37" s="78"/>
      <c r="C37" s="78"/>
      <c r="D37" s="78"/>
      <c r="E37" s="46">
        <v>0.1</v>
      </c>
      <c r="F37" s="78" t="s">
        <v>37</v>
      </c>
      <c r="G37" s="78"/>
      <c r="H37" s="78"/>
      <c r="I37" s="78"/>
      <c r="J37" s="24"/>
      <c r="K37" s="24"/>
      <c r="L37" s="24"/>
      <c r="M37" s="24"/>
      <c r="N37" s="72" t="s">
        <v>36</v>
      </c>
      <c r="O37" s="72"/>
      <c r="P37" s="72"/>
      <c r="Q37" s="72"/>
      <c r="R37" s="72"/>
      <c r="S37" s="38">
        <v>0.1</v>
      </c>
      <c r="T37" s="72" t="s">
        <v>37</v>
      </c>
      <c r="U37" s="72"/>
      <c r="V37" s="72"/>
      <c r="W37" s="72"/>
      <c r="X37" s="18"/>
      <c r="Y37" s="18"/>
      <c r="Z37" s="18"/>
      <c r="AA37" s="18"/>
      <c r="AB37" s="18"/>
      <c r="AC37" s="18"/>
      <c r="AD37" s="18"/>
    </row>
    <row r="38" spans="1:31" ht="14.45" customHeight="1" x14ac:dyDescent="0.25">
      <c r="A38" s="78" t="s">
        <v>36</v>
      </c>
      <c r="B38" s="78"/>
      <c r="C38" s="78"/>
      <c r="D38" s="78"/>
      <c r="E38" s="46">
        <v>0.1</v>
      </c>
      <c r="F38" s="78" t="s">
        <v>38</v>
      </c>
      <c r="G38" s="78"/>
      <c r="H38" s="78"/>
      <c r="I38" s="78"/>
      <c r="J38" s="24"/>
      <c r="K38" s="24"/>
      <c r="L38" s="24"/>
      <c r="M38" s="24"/>
      <c r="N38" s="72" t="s">
        <v>36</v>
      </c>
      <c r="O38" s="72"/>
      <c r="P38" s="72"/>
      <c r="Q38" s="72"/>
      <c r="R38" s="72"/>
      <c r="S38" s="38">
        <v>0.1</v>
      </c>
      <c r="T38" s="72" t="s">
        <v>38</v>
      </c>
      <c r="U38" s="72"/>
      <c r="V38" s="72"/>
      <c r="W38" s="72"/>
      <c r="X38" s="18"/>
      <c r="Y38" s="18"/>
      <c r="Z38" s="18"/>
      <c r="AA38" s="18"/>
      <c r="AB38" s="18"/>
      <c r="AC38" s="18"/>
      <c r="AD38" s="18"/>
      <c r="AE38" s="18"/>
    </row>
    <row r="39" spans="1:31" ht="14.45" customHeight="1" x14ac:dyDescent="0.25">
      <c r="A39" s="78" t="s">
        <v>36</v>
      </c>
      <c r="B39" s="78"/>
      <c r="C39" s="78"/>
      <c r="D39" s="78"/>
      <c r="E39" s="46">
        <v>0.1</v>
      </c>
      <c r="F39" s="78" t="s">
        <v>39</v>
      </c>
      <c r="G39" s="78"/>
      <c r="H39" s="78"/>
      <c r="I39" s="78"/>
      <c r="J39" s="24"/>
      <c r="K39" s="24"/>
      <c r="L39" s="24"/>
      <c r="M39" s="24"/>
      <c r="N39" s="40" t="s">
        <v>36</v>
      </c>
      <c r="O39" s="40"/>
      <c r="P39" s="40"/>
      <c r="Q39" s="40"/>
      <c r="R39" s="40"/>
      <c r="S39" s="38">
        <v>0.2</v>
      </c>
      <c r="T39" s="72" t="s">
        <v>39</v>
      </c>
      <c r="U39" s="72"/>
      <c r="V39" s="72"/>
      <c r="W39" s="72"/>
      <c r="X39" s="18"/>
      <c r="Y39" s="18"/>
      <c r="Z39" s="18"/>
      <c r="AA39" s="18"/>
      <c r="AB39" s="18"/>
      <c r="AC39" s="18"/>
      <c r="AD39" s="18"/>
      <c r="AE39" s="18"/>
    </row>
    <row r="40" spans="1:31" x14ac:dyDescent="0.25">
      <c r="A40" s="24"/>
      <c r="B40" s="24"/>
      <c r="C40" s="24"/>
      <c r="D40" s="24"/>
      <c r="E40" s="24"/>
      <c r="F40" s="24"/>
      <c r="G40" s="24"/>
      <c r="H40" s="24"/>
      <c r="I40" s="24"/>
      <c r="J40" s="24"/>
      <c r="K40" s="24"/>
      <c r="L40" s="24"/>
      <c r="M40" s="24"/>
      <c r="T40" s="18"/>
      <c r="U40" s="18"/>
      <c r="V40" s="18"/>
      <c r="W40" s="18"/>
      <c r="X40" s="18"/>
      <c r="Y40" s="18"/>
      <c r="Z40" s="18"/>
      <c r="AA40" s="18"/>
      <c r="AB40" s="18"/>
      <c r="AC40" s="18"/>
      <c r="AD40" s="18"/>
      <c r="AE40" s="18"/>
    </row>
    <row r="41" spans="1:31" ht="14.45" customHeight="1" x14ac:dyDescent="0.25">
      <c r="A41" s="102" t="s">
        <v>82</v>
      </c>
      <c r="B41" s="103"/>
      <c r="C41" s="103"/>
      <c r="D41" s="103"/>
      <c r="E41" s="103"/>
      <c r="F41" s="103"/>
      <c r="G41" s="103"/>
      <c r="H41" s="103"/>
      <c r="I41" s="103"/>
      <c r="J41" s="103"/>
      <c r="K41" s="103"/>
      <c r="L41" s="103"/>
      <c r="M41" s="104"/>
      <c r="T41" s="18"/>
      <c r="U41" s="18"/>
      <c r="V41" s="18"/>
      <c r="W41" s="18"/>
      <c r="X41" s="18"/>
      <c r="Y41" s="18"/>
      <c r="Z41" s="18"/>
      <c r="AA41" s="18"/>
      <c r="AB41" s="18"/>
      <c r="AC41" s="18"/>
      <c r="AD41" s="18"/>
      <c r="AE41" s="18"/>
    </row>
    <row r="42" spans="1:31" x14ac:dyDescent="0.25">
      <c r="A42" s="105"/>
      <c r="B42" s="106"/>
      <c r="C42" s="106"/>
      <c r="D42" s="106"/>
      <c r="E42" s="106"/>
      <c r="F42" s="106"/>
      <c r="G42" s="106"/>
      <c r="H42" s="106"/>
      <c r="I42" s="106"/>
      <c r="J42" s="106"/>
      <c r="K42" s="106"/>
      <c r="L42" s="106"/>
      <c r="M42" s="107"/>
      <c r="T42" s="18"/>
      <c r="U42" s="18"/>
      <c r="V42" s="18"/>
      <c r="W42" s="18"/>
      <c r="X42" s="18"/>
      <c r="Y42" s="18"/>
      <c r="Z42" s="18"/>
      <c r="AA42" s="18"/>
      <c r="AB42" s="18"/>
      <c r="AC42" s="18"/>
      <c r="AD42" s="18"/>
      <c r="AE42" s="18"/>
    </row>
    <row r="43" spans="1:31" x14ac:dyDescent="0.25">
      <c r="A43" s="105"/>
      <c r="B43" s="106"/>
      <c r="C43" s="106"/>
      <c r="D43" s="106"/>
      <c r="E43" s="106"/>
      <c r="F43" s="106"/>
      <c r="G43" s="106"/>
      <c r="H43" s="106"/>
      <c r="I43" s="106"/>
      <c r="J43" s="106"/>
      <c r="K43" s="106"/>
      <c r="L43" s="106"/>
      <c r="M43" s="107"/>
      <c r="T43" s="18"/>
      <c r="U43" s="18"/>
      <c r="V43" s="18"/>
      <c r="W43" s="18"/>
      <c r="X43" s="18"/>
      <c r="Y43" s="18"/>
      <c r="Z43" s="18"/>
      <c r="AA43" s="18"/>
      <c r="AB43" s="18"/>
      <c r="AC43" s="18"/>
      <c r="AD43" s="18"/>
      <c r="AE43" s="18"/>
    </row>
    <row r="44" spans="1:31" x14ac:dyDescent="0.25">
      <c r="A44" s="105"/>
      <c r="B44" s="106"/>
      <c r="C44" s="106"/>
      <c r="D44" s="106"/>
      <c r="E44" s="106"/>
      <c r="F44" s="106"/>
      <c r="G44" s="106"/>
      <c r="H44" s="106"/>
      <c r="I44" s="106"/>
      <c r="J44" s="106"/>
      <c r="K44" s="106"/>
      <c r="L44" s="106"/>
      <c r="M44" s="107"/>
      <c r="N44" s="19"/>
      <c r="O44" s="19"/>
      <c r="P44" s="19"/>
      <c r="Q44" s="19"/>
      <c r="R44" s="19"/>
      <c r="W44" s="18"/>
      <c r="X44" s="18"/>
      <c r="Y44" s="18"/>
      <c r="Z44" s="18"/>
      <c r="AA44" s="18"/>
      <c r="AB44" s="18"/>
      <c r="AC44" s="18"/>
      <c r="AD44" s="18"/>
      <c r="AE44" s="18"/>
    </row>
    <row r="45" spans="1:31" ht="14.65" customHeight="1" x14ac:dyDescent="0.25">
      <c r="A45" s="108"/>
      <c r="B45" s="109"/>
      <c r="C45" s="109"/>
      <c r="D45" s="109"/>
      <c r="E45" s="109"/>
      <c r="F45" s="109"/>
      <c r="G45" s="109"/>
      <c r="H45" s="109"/>
      <c r="I45" s="109"/>
      <c r="J45" s="109"/>
      <c r="K45" s="109"/>
      <c r="L45" s="109"/>
      <c r="M45" s="110"/>
      <c r="N45" s="19"/>
      <c r="O45" s="19"/>
      <c r="P45" s="19"/>
      <c r="Q45" s="19"/>
      <c r="R45" s="19"/>
      <c r="W45" s="18"/>
      <c r="X45" s="18"/>
      <c r="Y45" s="18"/>
      <c r="Z45" s="18"/>
      <c r="AA45" s="18"/>
      <c r="AB45" s="18"/>
      <c r="AC45" s="18"/>
      <c r="AD45" s="18"/>
      <c r="AE45" s="18"/>
    </row>
    <row r="46" spans="1:31" x14ac:dyDescent="0.25">
      <c r="A46" s="17"/>
      <c r="B46" s="17"/>
      <c r="C46" s="17"/>
      <c r="D46" s="17"/>
      <c r="E46" s="17"/>
      <c r="F46" s="17"/>
      <c r="G46" s="17"/>
      <c r="H46" s="17"/>
      <c r="I46" s="17"/>
      <c r="J46" s="17"/>
      <c r="K46" s="17"/>
      <c r="L46" s="17"/>
      <c r="M46" s="17"/>
      <c r="N46" s="19"/>
      <c r="O46" s="19"/>
      <c r="P46" s="19"/>
      <c r="Q46" s="19"/>
      <c r="R46" s="19"/>
      <c r="W46" s="18"/>
      <c r="X46" s="18"/>
      <c r="Y46" s="18"/>
      <c r="Z46" s="18"/>
      <c r="AA46" s="18"/>
      <c r="AB46" s="18"/>
      <c r="AC46" s="18"/>
      <c r="AD46" s="18"/>
      <c r="AE46" s="18"/>
    </row>
    <row r="47" spans="1:31" x14ac:dyDescent="0.25">
      <c r="A47" s="79" t="s">
        <v>11</v>
      </c>
      <c r="B47" s="79"/>
      <c r="C47" s="79"/>
      <c r="D47" s="79"/>
      <c r="E47" s="79"/>
      <c r="F47" s="79"/>
      <c r="G47" s="79"/>
      <c r="H47" s="79"/>
      <c r="I47" s="79"/>
      <c r="J47" s="79"/>
      <c r="K47" s="79"/>
      <c r="L47" s="79"/>
      <c r="M47" s="79"/>
      <c r="N47" s="75" t="s">
        <v>87</v>
      </c>
      <c r="O47" s="75"/>
      <c r="P47" s="75"/>
      <c r="Q47" s="75"/>
      <c r="R47" s="75"/>
      <c r="S47" s="75"/>
      <c r="T47" s="75"/>
      <c r="U47" s="75"/>
      <c r="V47" s="75"/>
      <c r="W47" s="75"/>
      <c r="X47" s="75"/>
      <c r="Y47" s="18"/>
      <c r="Z47" s="18"/>
      <c r="AA47" s="18"/>
      <c r="AB47" s="18"/>
      <c r="AC47" s="18"/>
      <c r="AD47" s="18"/>
      <c r="AE47" s="18"/>
    </row>
    <row r="48" spans="1:31" x14ac:dyDescent="0.25">
      <c r="A48" s="81" t="s">
        <v>108</v>
      </c>
      <c r="B48" s="82"/>
      <c r="C48" s="82"/>
      <c r="D48" s="82"/>
      <c r="E48" s="82"/>
      <c r="F48" s="82"/>
      <c r="G48" s="82"/>
      <c r="H48" s="82"/>
      <c r="I48" s="82"/>
      <c r="J48" s="82"/>
      <c r="K48" s="82"/>
      <c r="L48" s="82"/>
      <c r="M48" s="83"/>
      <c r="N48" s="76" t="s">
        <v>89</v>
      </c>
      <c r="O48" s="76"/>
      <c r="P48" s="76"/>
      <c r="Q48" s="76"/>
      <c r="R48" s="76"/>
      <c r="S48" s="76"/>
      <c r="T48" s="76"/>
      <c r="U48" s="76"/>
      <c r="V48" s="76"/>
      <c r="W48" s="76"/>
      <c r="X48" s="76"/>
      <c r="Y48" s="18"/>
      <c r="Z48" s="18"/>
      <c r="AA48" s="18"/>
      <c r="AB48" s="18"/>
      <c r="AC48" s="18"/>
      <c r="AD48" s="18"/>
      <c r="AE48" s="18"/>
    </row>
    <row r="49" spans="1:31" ht="14.85" customHeight="1" x14ac:dyDescent="0.25">
      <c r="A49" s="84"/>
      <c r="B49" s="85"/>
      <c r="C49" s="85"/>
      <c r="D49" s="85"/>
      <c r="E49" s="85"/>
      <c r="F49" s="85"/>
      <c r="G49" s="85"/>
      <c r="H49" s="85"/>
      <c r="I49" s="85"/>
      <c r="J49" s="85"/>
      <c r="K49" s="85"/>
      <c r="L49" s="85"/>
      <c r="M49" s="86"/>
      <c r="N49" s="76"/>
      <c r="O49" s="76"/>
      <c r="P49" s="76"/>
      <c r="Q49" s="76"/>
      <c r="R49" s="76"/>
      <c r="S49" s="76"/>
      <c r="T49" s="76"/>
      <c r="U49" s="76"/>
      <c r="V49" s="76"/>
      <c r="W49" s="76"/>
      <c r="X49" s="76"/>
      <c r="Y49" s="18"/>
      <c r="Z49" s="18"/>
      <c r="AA49" s="18"/>
      <c r="AB49" s="18"/>
      <c r="AC49" s="18"/>
      <c r="AD49" s="18"/>
      <c r="AE49" s="18"/>
    </row>
    <row r="50" spans="1:31" x14ac:dyDescent="0.25">
      <c r="A50" s="84"/>
      <c r="B50" s="85"/>
      <c r="C50" s="85"/>
      <c r="D50" s="85"/>
      <c r="E50" s="85"/>
      <c r="F50" s="85"/>
      <c r="G50" s="85"/>
      <c r="H50" s="85"/>
      <c r="I50" s="85"/>
      <c r="J50" s="85"/>
      <c r="K50" s="85"/>
      <c r="L50" s="85"/>
      <c r="M50" s="86"/>
      <c r="N50" s="76"/>
      <c r="O50" s="76"/>
      <c r="P50" s="76"/>
      <c r="Q50" s="76"/>
      <c r="R50" s="76"/>
      <c r="S50" s="76"/>
      <c r="T50" s="76"/>
      <c r="U50" s="76"/>
      <c r="V50" s="76"/>
      <c r="W50" s="76"/>
      <c r="X50" s="76"/>
      <c r="Y50" s="18"/>
      <c r="Z50" s="18"/>
      <c r="AA50" s="18"/>
      <c r="AB50" s="18"/>
      <c r="AC50" s="18"/>
      <c r="AD50" s="18"/>
      <c r="AE50" s="18"/>
    </row>
    <row r="51" spans="1:31" x14ac:dyDescent="0.25">
      <c r="A51" s="84"/>
      <c r="B51" s="85"/>
      <c r="C51" s="85"/>
      <c r="D51" s="85"/>
      <c r="E51" s="85"/>
      <c r="F51" s="85"/>
      <c r="G51" s="85"/>
      <c r="H51" s="85"/>
      <c r="I51" s="85"/>
      <c r="J51" s="85"/>
      <c r="K51" s="85"/>
      <c r="L51" s="85"/>
      <c r="M51" s="86"/>
      <c r="N51" s="76"/>
      <c r="O51" s="76"/>
      <c r="P51" s="76"/>
      <c r="Q51" s="76"/>
      <c r="R51" s="76"/>
      <c r="S51" s="76"/>
      <c r="T51" s="76"/>
      <c r="U51" s="76"/>
      <c r="V51" s="76"/>
      <c r="W51" s="76"/>
      <c r="X51" s="76"/>
      <c r="Y51" s="18"/>
      <c r="Z51" s="18"/>
      <c r="AA51" s="18"/>
      <c r="AB51" s="18"/>
      <c r="AC51" s="18"/>
      <c r="AD51" s="18"/>
      <c r="AE51" s="18"/>
    </row>
    <row r="52" spans="1:31" x14ac:dyDescent="0.25">
      <c r="A52" s="84"/>
      <c r="B52" s="85"/>
      <c r="C52" s="85"/>
      <c r="D52" s="85"/>
      <c r="E52" s="85"/>
      <c r="F52" s="85"/>
      <c r="G52" s="85"/>
      <c r="H52" s="85"/>
      <c r="I52" s="85"/>
      <c r="J52" s="85"/>
      <c r="K52" s="85"/>
      <c r="L52" s="85"/>
      <c r="M52" s="86"/>
      <c r="N52" s="76"/>
      <c r="O52" s="76"/>
      <c r="P52" s="76"/>
      <c r="Q52" s="76"/>
      <c r="R52" s="76"/>
      <c r="S52" s="76"/>
      <c r="T52" s="76"/>
      <c r="U52" s="76"/>
      <c r="V52" s="76"/>
      <c r="W52" s="76"/>
      <c r="X52" s="76"/>
      <c r="Y52" s="18"/>
      <c r="Z52" s="18"/>
      <c r="AA52" s="18"/>
      <c r="AB52" s="18"/>
      <c r="AC52" s="18"/>
      <c r="AD52" s="18"/>
      <c r="AE52" s="18"/>
    </row>
    <row r="53" spans="1:31" x14ac:dyDescent="0.25">
      <c r="A53" s="84"/>
      <c r="B53" s="85"/>
      <c r="C53" s="85"/>
      <c r="D53" s="85"/>
      <c r="E53" s="85"/>
      <c r="F53" s="85"/>
      <c r="G53" s="85"/>
      <c r="H53" s="85"/>
      <c r="I53" s="85"/>
      <c r="J53" s="85"/>
      <c r="K53" s="85"/>
      <c r="L53" s="85"/>
      <c r="M53" s="86"/>
      <c r="N53" s="76"/>
      <c r="O53" s="76"/>
      <c r="P53" s="76"/>
      <c r="Q53" s="76"/>
      <c r="R53" s="76"/>
      <c r="S53" s="76"/>
      <c r="T53" s="76"/>
      <c r="U53" s="76"/>
      <c r="V53" s="76"/>
      <c r="W53" s="76"/>
      <c r="X53" s="76"/>
      <c r="Y53" s="18"/>
      <c r="Z53" s="18"/>
      <c r="AA53" s="18"/>
      <c r="AB53" s="18"/>
      <c r="AC53" s="18"/>
      <c r="AD53" s="18"/>
      <c r="AE53" s="18"/>
    </row>
    <row r="54" spans="1:31" x14ac:dyDescent="0.25">
      <c r="A54" s="87"/>
      <c r="B54" s="88"/>
      <c r="C54" s="88"/>
      <c r="D54" s="88"/>
      <c r="E54" s="88"/>
      <c r="F54" s="88"/>
      <c r="G54" s="88"/>
      <c r="H54" s="88"/>
      <c r="I54" s="88"/>
      <c r="J54" s="88"/>
      <c r="K54" s="88"/>
      <c r="L54" s="88"/>
      <c r="M54" s="89"/>
      <c r="N54" s="76"/>
      <c r="O54" s="76"/>
      <c r="P54" s="76"/>
      <c r="Q54" s="76"/>
      <c r="R54" s="76"/>
      <c r="S54" s="76"/>
      <c r="T54" s="76"/>
      <c r="U54" s="76"/>
      <c r="V54" s="76"/>
      <c r="W54" s="76"/>
      <c r="X54" s="76"/>
    </row>
    <row r="55" spans="1:31" ht="14.45" customHeight="1" x14ac:dyDescent="0.25">
      <c r="A55" s="90" t="s">
        <v>12</v>
      </c>
      <c r="B55" s="91"/>
      <c r="C55" s="47">
        <v>15</v>
      </c>
      <c r="D55" s="20" t="s">
        <v>13</v>
      </c>
      <c r="E55" s="19"/>
      <c r="F55" s="19"/>
      <c r="G55" s="19"/>
      <c r="H55" s="19"/>
      <c r="I55" s="19"/>
      <c r="J55" s="19"/>
      <c r="K55" s="19"/>
      <c r="L55" s="19"/>
      <c r="M55" s="19"/>
      <c r="N55" s="77" t="s">
        <v>12</v>
      </c>
      <c r="O55" s="77"/>
      <c r="P55" s="39">
        <v>15</v>
      </c>
      <c r="Q55" s="41" t="s">
        <v>13</v>
      </c>
    </row>
    <row r="56" spans="1:31" x14ac:dyDescent="0.25">
      <c r="A56" s="19"/>
      <c r="B56" s="19"/>
      <c r="C56" s="19"/>
      <c r="D56" s="19"/>
      <c r="E56" s="19"/>
      <c r="F56" s="19"/>
      <c r="G56" s="19"/>
      <c r="H56" s="19"/>
      <c r="I56" s="19"/>
      <c r="J56" s="19"/>
      <c r="K56" s="19"/>
      <c r="L56" s="19"/>
      <c r="M56" s="19"/>
    </row>
    <row r="57" spans="1:31" ht="14.45" customHeight="1" x14ac:dyDescent="0.25">
      <c r="A57" s="80" t="s">
        <v>48</v>
      </c>
      <c r="B57" s="80"/>
      <c r="C57" s="80"/>
      <c r="D57" s="80"/>
      <c r="E57" s="80"/>
      <c r="F57" s="80"/>
      <c r="G57" s="80"/>
      <c r="H57" s="80"/>
      <c r="I57" s="80"/>
      <c r="J57" s="80"/>
      <c r="K57" s="80"/>
      <c r="L57" s="80"/>
      <c r="M57" s="80"/>
    </row>
    <row r="58" spans="1:31" x14ac:dyDescent="0.25">
      <c r="A58" s="80"/>
      <c r="B58" s="80"/>
      <c r="C58" s="80"/>
      <c r="D58" s="80"/>
      <c r="E58" s="80"/>
      <c r="F58" s="80"/>
      <c r="G58" s="80"/>
      <c r="H58" s="80"/>
      <c r="I58" s="80"/>
      <c r="J58" s="80"/>
      <c r="K58" s="80"/>
      <c r="L58" s="80"/>
      <c r="M58" s="80"/>
    </row>
    <row r="59" spans="1:31" x14ac:dyDescent="0.25">
      <c r="A59" s="80"/>
      <c r="B59" s="80"/>
      <c r="C59" s="80"/>
      <c r="D59" s="80"/>
      <c r="E59" s="80"/>
      <c r="F59" s="80"/>
      <c r="G59" s="80"/>
      <c r="H59" s="80"/>
      <c r="I59" s="80"/>
      <c r="J59" s="80"/>
      <c r="K59" s="80"/>
      <c r="L59" s="80"/>
      <c r="M59" s="80"/>
    </row>
    <row r="60" spans="1:31" x14ac:dyDescent="0.25">
      <c r="A60" s="80"/>
      <c r="B60" s="80"/>
      <c r="C60" s="80"/>
      <c r="D60" s="80"/>
      <c r="E60" s="80"/>
      <c r="F60" s="80"/>
      <c r="G60" s="80"/>
      <c r="H60" s="80"/>
      <c r="I60" s="80"/>
      <c r="J60" s="80"/>
      <c r="K60" s="80"/>
      <c r="L60" s="80"/>
      <c r="M60" s="80"/>
    </row>
    <row r="61" spans="1:31" x14ac:dyDescent="0.25">
      <c r="A61" s="80"/>
      <c r="B61" s="80"/>
      <c r="C61" s="80"/>
      <c r="D61" s="80"/>
      <c r="E61" s="80"/>
      <c r="F61" s="80"/>
      <c r="G61" s="80"/>
      <c r="H61" s="80"/>
      <c r="I61" s="80"/>
      <c r="J61" s="80"/>
      <c r="K61" s="80"/>
      <c r="L61" s="80"/>
      <c r="M61" s="80"/>
    </row>
    <row r="62" spans="1:31" x14ac:dyDescent="0.25">
      <c r="A62" s="80"/>
      <c r="B62" s="80"/>
      <c r="C62" s="80"/>
      <c r="D62" s="80"/>
      <c r="E62" s="80"/>
      <c r="F62" s="80"/>
      <c r="G62" s="80"/>
      <c r="H62" s="80"/>
      <c r="I62" s="80"/>
      <c r="J62" s="80"/>
      <c r="K62" s="80"/>
      <c r="L62" s="80"/>
      <c r="M62" s="80"/>
    </row>
    <row r="63" spans="1:31" x14ac:dyDescent="0.25">
      <c r="A63" s="80"/>
      <c r="B63" s="80"/>
      <c r="C63" s="80"/>
      <c r="D63" s="80"/>
      <c r="E63" s="80"/>
      <c r="F63" s="80"/>
      <c r="G63" s="80"/>
      <c r="H63" s="80"/>
      <c r="I63" s="80"/>
      <c r="J63" s="80"/>
      <c r="K63" s="80"/>
      <c r="L63" s="80"/>
      <c r="M63" s="80"/>
    </row>
    <row r="64" spans="1:31" x14ac:dyDescent="0.25">
      <c r="A64" s="80"/>
      <c r="B64" s="80"/>
      <c r="C64" s="80"/>
      <c r="D64" s="80"/>
      <c r="E64" s="80"/>
      <c r="F64" s="80"/>
      <c r="G64" s="80"/>
      <c r="H64" s="80"/>
      <c r="I64" s="80"/>
      <c r="J64" s="80"/>
      <c r="K64" s="80"/>
      <c r="L64" s="80"/>
      <c r="M64" s="80"/>
    </row>
    <row r="66" spans="1:24" x14ac:dyDescent="0.25">
      <c r="A66" s="79" t="s">
        <v>14</v>
      </c>
      <c r="B66" s="79"/>
      <c r="C66" s="79"/>
      <c r="D66" s="79"/>
      <c r="E66" s="79"/>
      <c r="F66" s="79"/>
      <c r="G66" s="79"/>
      <c r="H66" s="79"/>
      <c r="I66" s="79"/>
      <c r="J66" s="79"/>
      <c r="K66" s="79"/>
      <c r="L66" s="79"/>
      <c r="M66" s="79"/>
      <c r="N66" s="73" t="s">
        <v>87</v>
      </c>
      <c r="O66" s="73"/>
      <c r="P66" s="73"/>
      <c r="Q66" s="73"/>
      <c r="R66" s="73"/>
      <c r="S66" s="73"/>
      <c r="T66" s="73"/>
      <c r="U66" s="73"/>
      <c r="V66" s="73"/>
      <c r="W66" s="73"/>
      <c r="X66" s="73"/>
    </row>
    <row r="67" spans="1:24" ht="14.65" customHeight="1" x14ac:dyDescent="0.25">
      <c r="A67" s="64" t="s">
        <v>109</v>
      </c>
      <c r="B67" s="64"/>
      <c r="C67" s="64"/>
      <c r="D67" s="64"/>
      <c r="E67" s="64"/>
      <c r="F67" s="64"/>
      <c r="G67" s="64"/>
      <c r="H67" s="64"/>
      <c r="I67" s="64"/>
      <c r="J67" s="64"/>
      <c r="K67" s="64"/>
      <c r="L67" s="64"/>
      <c r="M67" s="64"/>
      <c r="N67" s="74" t="s">
        <v>93</v>
      </c>
      <c r="O67" s="74"/>
      <c r="P67" s="74"/>
      <c r="Q67" s="74"/>
      <c r="R67" s="74"/>
      <c r="S67" s="74"/>
      <c r="T67" s="74"/>
      <c r="U67" s="74"/>
      <c r="V67" s="74"/>
      <c r="W67" s="74"/>
      <c r="X67" s="74"/>
    </row>
    <row r="68" spans="1:24" ht="14.85" customHeight="1" x14ac:dyDescent="0.25">
      <c r="A68" s="64"/>
      <c r="B68" s="64"/>
      <c r="C68" s="64"/>
      <c r="D68" s="64"/>
      <c r="E68" s="64"/>
      <c r="F68" s="64"/>
      <c r="G68" s="64"/>
      <c r="H68" s="64"/>
      <c r="I68" s="64"/>
      <c r="J68" s="64"/>
      <c r="K68" s="64"/>
      <c r="L68" s="64"/>
      <c r="M68" s="64"/>
      <c r="N68" s="74"/>
      <c r="O68" s="74"/>
      <c r="P68" s="74"/>
      <c r="Q68" s="74"/>
      <c r="R68" s="74"/>
      <c r="S68" s="74"/>
      <c r="T68" s="74"/>
      <c r="U68" s="74"/>
      <c r="V68" s="74"/>
      <c r="W68" s="74"/>
      <c r="X68" s="74"/>
    </row>
    <row r="69" spans="1:24" x14ac:dyDescent="0.25">
      <c r="A69" s="64"/>
      <c r="B69" s="64"/>
      <c r="C69" s="64"/>
      <c r="D69" s="64"/>
      <c r="E69" s="64"/>
      <c r="F69" s="64"/>
      <c r="G69" s="64"/>
      <c r="H69" s="64"/>
      <c r="I69" s="64"/>
      <c r="J69" s="64"/>
      <c r="K69" s="64"/>
      <c r="L69" s="64"/>
      <c r="M69" s="64"/>
      <c r="N69" s="74"/>
      <c r="O69" s="74"/>
      <c r="P69" s="74"/>
      <c r="Q69" s="74"/>
      <c r="R69" s="74"/>
      <c r="S69" s="74"/>
      <c r="T69" s="74"/>
      <c r="U69" s="74"/>
      <c r="V69" s="74"/>
      <c r="W69" s="74"/>
      <c r="X69" s="74"/>
    </row>
    <row r="70" spans="1:24" x14ac:dyDescent="0.25">
      <c r="A70" s="64"/>
      <c r="B70" s="64"/>
      <c r="C70" s="64"/>
      <c r="D70" s="64"/>
      <c r="E70" s="64"/>
      <c r="F70" s="64"/>
      <c r="G70" s="64"/>
      <c r="H70" s="64"/>
      <c r="I70" s="64"/>
      <c r="J70" s="64"/>
      <c r="K70" s="64"/>
      <c r="L70" s="64"/>
      <c r="M70" s="64"/>
      <c r="N70" s="74"/>
      <c r="O70" s="74"/>
      <c r="P70" s="74"/>
      <c r="Q70" s="74"/>
      <c r="R70" s="74"/>
      <c r="S70" s="74"/>
      <c r="T70" s="74"/>
      <c r="U70" s="74"/>
      <c r="V70" s="74"/>
      <c r="W70" s="74"/>
      <c r="X70" s="74"/>
    </row>
    <row r="71" spans="1:24" x14ac:dyDescent="0.25">
      <c r="A71" s="64"/>
      <c r="B71" s="64"/>
      <c r="C71" s="64"/>
      <c r="D71" s="64"/>
      <c r="E71" s="64"/>
      <c r="F71" s="64"/>
      <c r="G71" s="64"/>
      <c r="H71" s="64"/>
      <c r="I71" s="64"/>
      <c r="J71" s="64"/>
      <c r="K71" s="64"/>
      <c r="L71" s="64"/>
      <c r="M71" s="64"/>
      <c r="N71" s="74"/>
      <c r="O71" s="74"/>
      <c r="P71" s="74"/>
      <c r="Q71" s="74"/>
      <c r="R71" s="74"/>
      <c r="S71" s="74"/>
      <c r="T71" s="74"/>
      <c r="U71" s="74"/>
      <c r="V71" s="74"/>
      <c r="W71" s="74"/>
      <c r="X71" s="74"/>
    </row>
    <row r="72" spans="1:24" x14ac:dyDescent="0.25">
      <c r="A72" s="64"/>
      <c r="B72" s="64"/>
      <c r="C72" s="64"/>
      <c r="D72" s="64"/>
      <c r="E72" s="64"/>
      <c r="F72" s="64"/>
      <c r="G72" s="64"/>
      <c r="H72" s="64"/>
      <c r="I72" s="64"/>
      <c r="J72" s="64"/>
      <c r="K72" s="64"/>
      <c r="L72" s="64"/>
      <c r="M72" s="64"/>
      <c r="N72" s="74"/>
      <c r="O72" s="74"/>
      <c r="P72" s="74"/>
      <c r="Q72" s="74"/>
      <c r="R72" s="74"/>
      <c r="S72" s="74"/>
      <c r="T72" s="74"/>
      <c r="U72" s="74"/>
      <c r="V72" s="74"/>
      <c r="W72" s="74"/>
      <c r="X72" s="74"/>
    </row>
    <row r="73" spans="1:24" x14ac:dyDescent="0.25">
      <c r="A73" s="64"/>
      <c r="B73" s="64"/>
      <c r="C73" s="64"/>
      <c r="D73" s="64"/>
      <c r="E73" s="64"/>
      <c r="F73" s="64"/>
      <c r="G73" s="64"/>
      <c r="H73" s="64"/>
      <c r="I73" s="64"/>
      <c r="J73" s="64"/>
      <c r="K73" s="64"/>
      <c r="L73" s="64"/>
      <c r="M73" s="64"/>
      <c r="N73" s="74"/>
      <c r="O73" s="74"/>
      <c r="P73" s="74"/>
      <c r="Q73" s="74"/>
      <c r="R73" s="74"/>
      <c r="S73" s="74"/>
      <c r="T73" s="74"/>
      <c r="U73" s="74"/>
      <c r="V73" s="74"/>
      <c r="W73" s="74"/>
      <c r="X73" s="74"/>
    </row>
    <row r="74" spans="1:24" x14ac:dyDescent="0.25">
      <c r="A74" s="42" t="s">
        <v>15</v>
      </c>
      <c r="B74" s="48">
        <v>10</v>
      </c>
      <c r="C74" s="78" t="s">
        <v>16</v>
      </c>
      <c r="D74" s="78"/>
      <c r="E74" s="78"/>
      <c r="F74" s="78"/>
      <c r="G74" s="78"/>
      <c r="N74" s="43" t="s">
        <v>15</v>
      </c>
      <c r="O74" s="23">
        <v>80</v>
      </c>
      <c r="P74" s="72" t="s">
        <v>16</v>
      </c>
      <c r="Q74" s="72"/>
      <c r="R74" s="72"/>
      <c r="S74" s="72"/>
      <c r="T74" s="72"/>
    </row>
    <row r="75" spans="1:24" x14ac:dyDescent="0.25">
      <c r="A75" s="42" t="s">
        <v>15</v>
      </c>
      <c r="B75" s="48">
        <v>10</v>
      </c>
      <c r="C75" s="78" t="s">
        <v>17</v>
      </c>
      <c r="D75" s="78"/>
      <c r="E75" s="78"/>
      <c r="F75" s="78"/>
      <c r="G75" s="78"/>
      <c r="N75" s="43" t="s">
        <v>15</v>
      </c>
      <c r="O75" s="23">
        <v>45</v>
      </c>
      <c r="P75" s="72" t="s">
        <v>17</v>
      </c>
      <c r="Q75" s="72"/>
      <c r="R75" s="72"/>
      <c r="S75" s="72"/>
      <c r="T75" s="72"/>
    </row>
    <row r="77" spans="1:24" ht="14.45" customHeight="1" x14ac:dyDescent="0.25">
      <c r="A77" s="80" t="s">
        <v>49</v>
      </c>
      <c r="B77" s="80"/>
      <c r="C77" s="80"/>
      <c r="D77" s="80"/>
      <c r="E77" s="80"/>
      <c r="F77" s="80"/>
      <c r="G77" s="80"/>
      <c r="H77" s="80"/>
      <c r="I77" s="80"/>
      <c r="J77" s="80"/>
      <c r="K77" s="80"/>
      <c r="L77" s="80"/>
      <c r="M77" s="80"/>
    </row>
    <row r="78" spans="1:24" x14ac:dyDescent="0.25">
      <c r="A78" s="80"/>
      <c r="B78" s="80"/>
      <c r="C78" s="80"/>
      <c r="D78" s="80"/>
      <c r="E78" s="80"/>
      <c r="F78" s="80"/>
      <c r="G78" s="80"/>
      <c r="H78" s="80"/>
      <c r="I78" s="80"/>
      <c r="J78" s="80"/>
      <c r="K78" s="80"/>
      <c r="L78" s="80"/>
      <c r="M78" s="80"/>
    </row>
    <row r="79" spans="1:24" x14ac:dyDescent="0.25">
      <c r="A79" s="80"/>
      <c r="B79" s="80"/>
      <c r="C79" s="80"/>
      <c r="D79" s="80"/>
      <c r="E79" s="80"/>
      <c r="F79" s="80"/>
      <c r="G79" s="80"/>
      <c r="H79" s="80"/>
      <c r="I79" s="80"/>
      <c r="J79" s="80"/>
      <c r="K79" s="80"/>
      <c r="L79" s="80"/>
      <c r="M79" s="80"/>
    </row>
    <row r="80" spans="1:24" x14ac:dyDescent="0.25">
      <c r="A80" s="80"/>
      <c r="B80" s="80"/>
      <c r="C80" s="80"/>
      <c r="D80" s="80"/>
      <c r="E80" s="80"/>
      <c r="F80" s="80"/>
      <c r="G80" s="80"/>
      <c r="H80" s="80"/>
      <c r="I80" s="80"/>
      <c r="J80" s="80"/>
      <c r="K80" s="80"/>
      <c r="L80" s="80"/>
      <c r="M80" s="80"/>
    </row>
    <row r="81" spans="1:24" x14ac:dyDescent="0.25">
      <c r="A81" s="80"/>
      <c r="B81" s="80"/>
      <c r="C81" s="80"/>
      <c r="D81" s="80"/>
      <c r="E81" s="80"/>
      <c r="F81" s="80"/>
      <c r="G81" s="80"/>
      <c r="H81" s="80"/>
      <c r="I81" s="80"/>
      <c r="J81" s="80"/>
      <c r="K81" s="80"/>
      <c r="L81" s="80"/>
      <c r="M81" s="80"/>
    </row>
    <row r="82" spans="1:24" x14ac:dyDescent="0.25">
      <c r="A82" s="80"/>
      <c r="B82" s="80"/>
      <c r="C82" s="80"/>
      <c r="D82" s="80"/>
      <c r="E82" s="80"/>
      <c r="F82" s="80"/>
      <c r="G82" s="80"/>
      <c r="H82" s="80"/>
      <c r="I82" s="80"/>
      <c r="J82" s="80"/>
      <c r="K82" s="80"/>
      <c r="L82" s="80"/>
      <c r="M82" s="80"/>
    </row>
    <row r="83" spans="1:24" x14ac:dyDescent="0.25">
      <c r="A83" s="80"/>
      <c r="B83" s="80"/>
      <c r="C83" s="80"/>
      <c r="D83" s="80"/>
      <c r="E83" s="80"/>
      <c r="F83" s="80"/>
      <c r="G83" s="80"/>
      <c r="H83" s="80"/>
      <c r="I83" s="80"/>
      <c r="J83" s="80"/>
      <c r="K83" s="80"/>
      <c r="L83" s="80"/>
      <c r="M83" s="80"/>
    </row>
    <row r="84" spans="1:24" x14ac:dyDescent="0.25">
      <c r="A84" s="80"/>
      <c r="B84" s="80"/>
      <c r="C84" s="80"/>
      <c r="D84" s="80"/>
      <c r="E84" s="80"/>
      <c r="F84" s="80"/>
      <c r="G84" s="80"/>
      <c r="H84" s="80"/>
      <c r="I84" s="80"/>
      <c r="J84" s="80"/>
      <c r="K84" s="80"/>
      <c r="L84" s="80"/>
      <c r="M84" s="80"/>
    </row>
    <row r="86" spans="1:24" x14ac:dyDescent="0.25">
      <c r="A86" s="79" t="s">
        <v>19</v>
      </c>
      <c r="B86" s="79"/>
      <c r="C86" s="79"/>
      <c r="D86" s="79"/>
      <c r="E86" s="79"/>
      <c r="F86" s="79"/>
      <c r="G86" s="79"/>
      <c r="H86" s="79"/>
      <c r="I86" s="79"/>
      <c r="J86" s="79"/>
      <c r="K86" s="79"/>
      <c r="L86" s="79"/>
      <c r="M86" s="79"/>
      <c r="N86" s="73" t="s">
        <v>87</v>
      </c>
      <c r="O86" s="73"/>
      <c r="P86" s="73"/>
      <c r="Q86" s="73"/>
      <c r="R86" s="73"/>
      <c r="S86" s="73"/>
      <c r="T86" s="73"/>
      <c r="U86" s="73"/>
      <c r="V86" s="73"/>
      <c r="W86" s="73"/>
      <c r="X86" s="73"/>
    </row>
    <row r="87" spans="1:24" ht="14.85" customHeight="1" x14ac:dyDescent="0.25">
      <c r="A87" s="64" t="s">
        <v>110</v>
      </c>
      <c r="B87" s="92"/>
      <c r="C87" s="92"/>
      <c r="D87" s="92"/>
      <c r="E87" s="92"/>
      <c r="F87" s="92"/>
      <c r="G87" s="92"/>
      <c r="H87" s="92"/>
      <c r="I87" s="92"/>
      <c r="J87" s="92"/>
      <c r="K87" s="92"/>
      <c r="L87" s="92"/>
      <c r="M87" s="92"/>
      <c r="N87" s="74" t="s">
        <v>90</v>
      </c>
      <c r="O87" s="74"/>
      <c r="P87" s="74"/>
      <c r="Q87" s="74"/>
      <c r="R87" s="74"/>
      <c r="S87" s="74"/>
      <c r="T87" s="74"/>
      <c r="U87" s="74"/>
      <c r="V87" s="74"/>
      <c r="W87" s="74"/>
      <c r="X87" s="74"/>
    </row>
    <row r="88" spans="1:24" ht="14.85" customHeight="1" x14ac:dyDescent="0.25">
      <c r="A88" s="92"/>
      <c r="B88" s="92"/>
      <c r="C88" s="92"/>
      <c r="D88" s="92"/>
      <c r="E88" s="92"/>
      <c r="F88" s="92"/>
      <c r="G88" s="92"/>
      <c r="H88" s="92"/>
      <c r="I88" s="92"/>
      <c r="J88" s="92"/>
      <c r="K88" s="92"/>
      <c r="L88" s="92"/>
      <c r="M88" s="92"/>
      <c r="N88" s="74"/>
      <c r="O88" s="74"/>
      <c r="P88" s="74"/>
      <c r="Q88" s="74"/>
      <c r="R88" s="74"/>
      <c r="S88" s="74"/>
      <c r="T88" s="74"/>
      <c r="U88" s="74"/>
      <c r="V88" s="74"/>
      <c r="W88" s="74"/>
      <c r="X88" s="74"/>
    </row>
    <row r="89" spans="1:24" x14ac:dyDescent="0.25">
      <c r="A89" s="92"/>
      <c r="B89" s="92"/>
      <c r="C89" s="92"/>
      <c r="D89" s="92"/>
      <c r="E89" s="92"/>
      <c r="F89" s="92"/>
      <c r="G89" s="92"/>
      <c r="H89" s="92"/>
      <c r="I89" s="92"/>
      <c r="J89" s="92"/>
      <c r="K89" s="92"/>
      <c r="L89" s="92"/>
      <c r="M89" s="92"/>
      <c r="N89" s="74"/>
      <c r="O89" s="74"/>
      <c r="P89" s="74"/>
      <c r="Q89" s="74"/>
      <c r="R89" s="74"/>
      <c r="S89" s="74"/>
      <c r="T89" s="74"/>
      <c r="U89" s="74"/>
      <c r="V89" s="74"/>
      <c r="W89" s="74"/>
      <c r="X89" s="74"/>
    </row>
    <row r="90" spans="1:24" x14ac:dyDescent="0.25">
      <c r="A90" s="92"/>
      <c r="B90" s="92"/>
      <c r="C90" s="92"/>
      <c r="D90" s="92"/>
      <c r="E90" s="92"/>
      <c r="F90" s="92"/>
      <c r="G90" s="92"/>
      <c r="H90" s="92"/>
      <c r="I90" s="92"/>
      <c r="J90" s="92"/>
      <c r="K90" s="92"/>
      <c r="L90" s="92"/>
      <c r="M90" s="92"/>
      <c r="N90" s="74"/>
      <c r="O90" s="74"/>
      <c r="P90" s="74"/>
      <c r="Q90" s="74"/>
      <c r="R90" s="74"/>
      <c r="S90" s="74"/>
      <c r="T90" s="74"/>
      <c r="U90" s="74"/>
      <c r="V90" s="74"/>
      <c r="W90" s="74"/>
      <c r="X90" s="74"/>
    </row>
    <row r="91" spans="1:24" x14ac:dyDescent="0.25">
      <c r="A91" s="92"/>
      <c r="B91" s="92"/>
      <c r="C91" s="92"/>
      <c r="D91" s="92"/>
      <c r="E91" s="92"/>
      <c r="F91" s="92"/>
      <c r="G91" s="92"/>
      <c r="H91" s="92"/>
      <c r="I91" s="92"/>
      <c r="J91" s="92"/>
      <c r="K91" s="92"/>
      <c r="L91" s="92"/>
      <c r="M91" s="92"/>
      <c r="N91" s="74"/>
      <c r="O91" s="74"/>
      <c r="P91" s="74"/>
      <c r="Q91" s="74"/>
      <c r="R91" s="74"/>
      <c r="S91" s="74"/>
      <c r="T91" s="74"/>
      <c r="U91" s="74"/>
      <c r="V91" s="74"/>
      <c r="W91" s="74"/>
      <c r="X91" s="74"/>
    </row>
    <row r="92" spans="1:24" x14ac:dyDescent="0.25">
      <c r="A92" s="92"/>
      <c r="B92" s="92"/>
      <c r="C92" s="92"/>
      <c r="D92" s="92"/>
      <c r="E92" s="92"/>
      <c r="F92" s="92"/>
      <c r="G92" s="92"/>
      <c r="H92" s="92"/>
      <c r="I92" s="92"/>
      <c r="J92" s="92"/>
      <c r="K92" s="92"/>
      <c r="L92" s="92"/>
      <c r="M92" s="92"/>
      <c r="N92" s="74"/>
      <c r="O92" s="74"/>
      <c r="P92" s="74"/>
      <c r="Q92" s="74"/>
      <c r="R92" s="74"/>
      <c r="S92" s="74"/>
      <c r="T92" s="74"/>
      <c r="U92" s="74"/>
      <c r="V92" s="74"/>
      <c r="W92" s="74"/>
      <c r="X92" s="74"/>
    </row>
    <row r="93" spans="1:24" x14ac:dyDescent="0.25">
      <c r="A93" s="93"/>
      <c r="B93" s="93"/>
      <c r="C93" s="93"/>
      <c r="D93" s="93"/>
      <c r="E93" s="93"/>
      <c r="F93" s="93"/>
      <c r="G93" s="93"/>
      <c r="H93" s="92"/>
      <c r="I93" s="92"/>
      <c r="J93" s="92"/>
      <c r="K93" s="92"/>
      <c r="L93" s="92"/>
      <c r="M93" s="92"/>
      <c r="N93" s="74"/>
      <c r="O93" s="74"/>
      <c r="P93" s="74"/>
      <c r="Q93" s="74"/>
      <c r="R93" s="74"/>
      <c r="S93" s="74"/>
      <c r="T93" s="74"/>
      <c r="U93" s="74"/>
      <c r="V93" s="74"/>
      <c r="W93" s="74"/>
      <c r="X93" s="74"/>
    </row>
    <row r="94" spans="1:24" x14ac:dyDescent="0.25">
      <c r="A94" s="78" t="s">
        <v>20</v>
      </c>
      <c r="B94" s="78"/>
      <c r="C94" s="78"/>
      <c r="D94" s="49">
        <v>8</v>
      </c>
      <c r="E94" s="78" t="s">
        <v>21</v>
      </c>
      <c r="F94" s="78"/>
      <c r="G94" s="78"/>
      <c r="N94" s="72" t="s">
        <v>20</v>
      </c>
      <c r="O94" s="72"/>
      <c r="P94" s="72"/>
      <c r="Q94" s="16">
        <v>8</v>
      </c>
      <c r="R94" s="72" t="s">
        <v>21</v>
      </c>
      <c r="S94" s="72"/>
      <c r="T94" s="72"/>
    </row>
    <row r="95" spans="1:24" x14ac:dyDescent="0.25">
      <c r="A95" s="78" t="s">
        <v>20</v>
      </c>
      <c r="B95" s="78"/>
      <c r="C95" s="78"/>
      <c r="D95" s="49">
        <v>1</v>
      </c>
      <c r="E95" s="78" t="s">
        <v>22</v>
      </c>
      <c r="F95" s="78"/>
      <c r="G95" s="78"/>
      <c r="N95" s="72" t="s">
        <v>20</v>
      </c>
      <c r="O95" s="72"/>
      <c r="P95" s="72"/>
      <c r="Q95" s="16">
        <v>4</v>
      </c>
      <c r="R95" s="72" t="s">
        <v>22</v>
      </c>
      <c r="S95" s="72"/>
      <c r="T95" s="72"/>
    </row>
    <row r="97" spans="1:24" x14ac:dyDescent="0.25">
      <c r="A97" s="80" t="s">
        <v>23</v>
      </c>
      <c r="B97" s="80"/>
      <c r="C97" s="80"/>
      <c r="D97" s="80"/>
      <c r="E97" s="80"/>
      <c r="F97" s="80"/>
      <c r="G97" s="80"/>
      <c r="H97" s="80"/>
      <c r="I97" s="80"/>
      <c r="J97" s="80"/>
      <c r="K97" s="80"/>
      <c r="L97" s="80"/>
      <c r="M97" s="80"/>
    </row>
    <row r="98" spans="1:24" x14ac:dyDescent="0.25">
      <c r="A98" s="80"/>
      <c r="B98" s="80"/>
      <c r="C98" s="80"/>
      <c r="D98" s="80"/>
      <c r="E98" s="80"/>
      <c r="F98" s="80"/>
      <c r="G98" s="80"/>
      <c r="H98" s="80"/>
      <c r="I98" s="80"/>
      <c r="J98" s="80"/>
      <c r="K98" s="80"/>
      <c r="L98" s="80"/>
      <c r="M98" s="80"/>
    </row>
    <row r="99" spans="1:24" x14ac:dyDescent="0.25">
      <c r="A99" s="80"/>
      <c r="B99" s="80"/>
      <c r="C99" s="80"/>
      <c r="D99" s="80"/>
      <c r="E99" s="80"/>
      <c r="F99" s="80"/>
      <c r="G99" s="80"/>
      <c r="H99" s="80"/>
      <c r="I99" s="80"/>
      <c r="J99" s="80"/>
      <c r="K99" s="80"/>
      <c r="L99" s="80"/>
      <c r="M99" s="80"/>
    </row>
    <row r="100" spans="1:24" x14ac:dyDescent="0.25">
      <c r="A100" s="80"/>
      <c r="B100" s="80"/>
      <c r="C100" s="80"/>
      <c r="D100" s="80"/>
      <c r="E100" s="80"/>
      <c r="F100" s="80"/>
      <c r="G100" s="80"/>
      <c r="H100" s="80"/>
      <c r="I100" s="80"/>
      <c r="J100" s="80"/>
      <c r="K100" s="80"/>
      <c r="L100" s="80"/>
      <c r="M100" s="80"/>
    </row>
    <row r="101" spans="1:24" x14ac:dyDescent="0.25">
      <c r="A101" s="80"/>
      <c r="B101" s="80"/>
      <c r="C101" s="80"/>
      <c r="D101" s="80"/>
      <c r="E101" s="80"/>
      <c r="F101" s="80"/>
      <c r="G101" s="80"/>
      <c r="H101" s="80"/>
      <c r="I101" s="80"/>
      <c r="J101" s="80"/>
      <c r="K101" s="80"/>
      <c r="L101" s="80"/>
      <c r="M101" s="80"/>
    </row>
    <row r="102" spans="1:24" x14ac:dyDescent="0.25">
      <c r="A102" s="80"/>
      <c r="B102" s="80"/>
      <c r="C102" s="80"/>
      <c r="D102" s="80"/>
      <c r="E102" s="80"/>
      <c r="F102" s="80"/>
      <c r="G102" s="80"/>
      <c r="H102" s="80"/>
      <c r="I102" s="80"/>
      <c r="J102" s="80"/>
      <c r="K102" s="80"/>
      <c r="L102" s="80"/>
      <c r="M102" s="80"/>
    </row>
    <row r="103" spans="1:24" x14ac:dyDescent="0.25">
      <c r="A103" s="80"/>
      <c r="B103" s="80"/>
      <c r="C103" s="80"/>
      <c r="D103" s="80"/>
      <c r="E103" s="80"/>
      <c r="F103" s="80"/>
      <c r="G103" s="80"/>
      <c r="H103" s="80"/>
      <c r="I103" s="80"/>
      <c r="J103" s="80"/>
      <c r="K103" s="80"/>
      <c r="L103" s="80"/>
      <c r="M103" s="80"/>
    </row>
    <row r="104" spans="1:24" x14ac:dyDescent="0.25">
      <c r="A104" s="80"/>
      <c r="B104" s="80"/>
      <c r="C104" s="80"/>
      <c r="D104" s="80"/>
      <c r="E104" s="80"/>
      <c r="F104" s="80"/>
      <c r="G104" s="80"/>
      <c r="H104" s="80"/>
      <c r="I104" s="80"/>
      <c r="J104" s="80"/>
      <c r="K104" s="80"/>
      <c r="L104" s="80"/>
      <c r="M104" s="80"/>
    </row>
    <row r="106" spans="1:24" x14ac:dyDescent="0.25">
      <c r="A106" s="79" t="s">
        <v>24</v>
      </c>
      <c r="B106" s="79"/>
      <c r="C106" s="79"/>
      <c r="D106" s="79"/>
      <c r="E106" s="79"/>
      <c r="F106" s="79"/>
      <c r="G106" s="79"/>
      <c r="H106" s="79"/>
      <c r="I106" s="79"/>
      <c r="J106" s="79"/>
      <c r="K106" s="79"/>
      <c r="L106" s="79"/>
      <c r="M106" s="79"/>
      <c r="N106" s="73" t="s">
        <v>87</v>
      </c>
      <c r="O106" s="73"/>
      <c r="P106" s="73"/>
      <c r="Q106" s="73"/>
      <c r="R106" s="73"/>
      <c r="S106" s="73"/>
      <c r="T106" s="73"/>
      <c r="U106" s="73"/>
      <c r="V106" s="73"/>
      <c r="W106" s="73"/>
      <c r="X106" s="73"/>
    </row>
    <row r="107" spans="1:24" ht="14.85" customHeight="1" x14ac:dyDescent="0.25">
      <c r="A107" s="64" t="s">
        <v>111</v>
      </c>
      <c r="B107" s="64"/>
      <c r="C107" s="64"/>
      <c r="D107" s="64"/>
      <c r="E107" s="64"/>
      <c r="F107" s="64"/>
      <c r="G107" s="64"/>
      <c r="H107" s="64"/>
      <c r="I107" s="64"/>
      <c r="J107" s="64"/>
      <c r="K107" s="64"/>
      <c r="L107" s="64"/>
      <c r="M107" s="64"/>
      <c r="N107" s="74" t="s">
        <v>94</v>
      </c>
      <c r="O107" s="74"/>
      <c r="P107" s="74"/>
      <c r="Q107" s="74"/>
      <c r="R107" s="74"/>
      <c r="S107" s="74"/>
      <c r="T107" s="74"/>
      <c r="U107" s="74"/>
      <c r="V107" s="74"/>
      <c r="W107" s="74"/>
      <c r="X107" s="74"/>
    </row>
    <row r="108" spans="1:24" x14ac:dyDescent="0.25">
      <c r="A108" s="64"/>
      <c r="B108" s="64"/>
      <c r="C108" s="64"/>
      <c r="D108" s="64"/>
      <c r="E108" s="64"/>
      <c r="F108" s="64"/>
      <c r="G108" s="64"/>
      <c r="H108" s="64"/>
      <c r="I108" s="64"/>
      <c r="J108" s="64"/>
      <c r="K108" s="64"/>
      <c r="L108" s="64"/>
      <c r="M108" s="64"/>
      <c r="N108" s="74"/>
      <c r="O108" s="74"/>
      <c r="P108" s="74"/>
      <c r="Q108" s="74"/>
      <c r="R108" s="74"/>
      <c r="S108" s="74"/>
      <c r="T108" s="74"/>
      <c r="U108" s="74"/>
      <c r="V108" s="74"/>
      <c r="W108" s="74"/>
      <c r="X108" s="74"/>
    </row>
    <row r="109" spans="1:24" x14ac:dyDescent="0.25">
      <c r="A109" s="64"/>
      <c r="B109" s="64"/>
      <c r="C109" s="64"/>
      <c r="D109" s="64"/>
      <c r="E109" s="64"/>
      <c r="F109" s="64"/>
      <c r="G109" s="64"/>
      <c r="H109" s="64"/>
      <c r="I109" s="64"/>
      <c r="J109" s="64"/>
      <c r="K109" s="64"/>
      <c r="L109" s="64"/>
      <c r="M109" s="64"/>
      <c r="N109" s="74"/>
      <c r="O109" s="74"/>
      <c r="P109" s="74"/>
      <c r="Q109" s="74"/>
      <c r="R109" s="74"/>
      <c r="S109" s="74"/>
      <c r="T109" s="74"/>
      <c r="U109" s="74"/>
      <c r="V109" s="74"/>
      <c r="W109" s="74"/>
      <c r="X109" s="74"/>
    </row>
    <row r="110" spans="1:24" x14ac:dyDescent="0.25">
      <c r="A110" s="64"/>
      <c r="B110" s="64"/>
      <c r="C110" s="64"/>
      <c r="D110" s="64"/>
      <c r="E110" s="64"/>
      <c r="F110" s="64"/>
      <c r="G110" s="64"/>
      <c r="H110" s="64"/>
      <c r="I110" s="64"/>
      <c r="J110" s="64"/>
      <c r="K110" s="64"/>
      <c r="L110" s="64"/>
      <c r="M110" s="64"/>
      <c r="N110" s="74"/>
      <c r="O110" s="74"/>
      <c r="P110" s="74"/>
      <c r="Q110" s="74"/>
      <c r="R110" s="74"/>
      <c r="S110" s="74"/>
      <c r="T110" s="74"/>
      <c r="U110" s="74"/>
      <c r="V110" s="74"/>
      <c r="W110" s="74"/>
      <c r="X110" s="74"/>
    </row>
    <row r="111" spans="1:24" x14ac:dyDescent="0.25">
      <c r="A111" s="64"/>
      <c r="B111" s="64"/>
      <c r="C111" s="64"/>
      <c r="D111" s="64"/>
      <c r="E111" s="64"/>
      <c r="F111" s="64"/>
      <c r="G111" s="64"/>
      <c r="H111" s="64"/>
      <c r="I111" s="64"/>
      <c r="J111" s="64"/>
      <c r="K111" s="64"/>
      <c r="L111" s="64"/>
      <c r="M111" s="64"/>
      <c r="N111" s="74"/>
      <c r="O111" s="74"/>
      <c r="P111" s="74"/>
      <c r="Q111" s="74"/>
      <c r="R111" s="74"/>
      <c r="S111" s="74"/>
      <c r="T111" s="74"/>
      <c r="U111" s="74"/>
      <c r="V111" s="74"/>
      <c r="W111" s="74"/>
      <c r="X111" s="74"/>
    </row>
    <row r="112" spans="1:24" x14ac:dyDescent="0.25">
      <c r="A112" s="64"/>
      <c r="B112" s="64"/>
      <c r="C112" s="64"/>
      <c r="D112" s="64"/>
      <c r="E112" s="64"/>
      <c r="F112" s="64"/>
      <c r="G112" s="64"/>
      <c r="H112" s="64"/>
      <c r="I112" s="64"/>
      <c r="J112" s="64"/>
      <c r="K112" s="64"/>
      <c r="L112" s="64"/>
      <c r="M112" s="64"/>
      <c r="N112" s="74"/>
      <c r="O112" s="74"/>
      <c r="P112" s="74"/>
      <c r="Q112" s="74"/>
      <c r="R112" s="74"/>
      <c r="S112" s="74"/>
      <c r="T112" s="74"/>
      <c r="U112" s="74"/>
      <c r="V112" s="74"/>
      <c r="W112" s="74"/>
      <c r="X112" s="74"/>
    </row>
    <row r="113" spans="1:24" x14ac:dyDescent="0.25">
      <c r="A113" s="99"/>
      <c r="B113" s="99"/>
      <c r="C113" s="99"/>
      <c r="D113" s="99"/>
      <c r="E113" s="99"/>
      <c r="F113" s="99"/>
      <c r="G113" s="99"/>
      <c r="H113" s="64"/>
      <c r="I113" s="64"/>
      <c r="J113" s="64"/>
      <c r="K113" s="64"/>
      <c r="L113" s="64"/>
      <c r="M113" s="64"/>
      <c r="N113" s="74"/>
      <c r="O113" s="74"/>
      <c r="P113" s="74"/>
      <c r="Q113" s="74"/>
      <c r="R113" s="74"/>
      <c r="S113" s="74"/>
      <c r="T113" s="74"/>
      <c r="U113" s="74"/>
      <c r="V113" s="74"/>
      <c r="W113" s="74"/>
      <c r="X113" s="74"/>
    </row>
    <row r="114" spans="1:24" x14ac:dyDescent="0.25">
      <c r="A114" s="78" t="s">
        <v>25</v>
      </c>
      <c r="B114" s="78"/>
      <c r="C114" s="78"/>
      <c r="D114" s="49">
        <v>9</v>
      </c>
      <c r="E114" s="78" t="s">
        <v>58</v>
      </c>
      <c r="F114" s="78"/>
      <c r="G114" s="78"/>
      <c r="N114" s="72" t="s">
        <v>25</v>
      </c>
      <c r="O114" s="72"/>
      <c r="P114" s="72"/>
      <c r="Q114" s="16">
        <v>10</v>
      </c>
      <c r="R114" s="72" t="s">
        <v>58</v>
      </c>
      <c r="S114" s="72"/>
      <c r="T114" s="72"/>
    </row>
    <row r="116" spans="1:24" x14ac:dyDescent="0.25">
      <c r="A116" s="80" t="s">
        <v>68</v>
      </c>
      <c r="B116" s="80"/>
      <c r="C116" s="80"/>
      <c r="D116" s="80"/>
      <c r="E116" s="80"/>
      <c r="F116" s="80"/>
      <c r="G116" s="80"/>
      <c r="H116" s="80"/>
      <c r="I116" s="80"/>
      <c r="J116" s="80"/>
      <c r="K116" s="80"/>
      <c r="L116" s="80"/>
      <c r="M116" s="80"/>
    </row>
    <row r="117" spans="1:24" x14ac:dyDescent="0.25">
      <c r="A117" s="80"/>
      <c r="B117" s="80"/>
      <c r="C117" s="80"/>
      <c r="D117" s="80"/>
      <c r="E117" s="80"/>
      <c r="F117" s="80"/>
      <c r="G117" s="80"/>
      <c r="H117" s="80"/>
      <c r="I117" s="80"/>
      <c r="J117" s="80"/>
      <c r="K117" s="80"/>
      <c r="L117" s="80"/>
      <c r="M117" s="80"/>
    </row>
    <row r="118" spans="1:24" x14ac:dyDescent="0.25">
      <c r="A118" s="80"/>
      <c r="B118" s="80"/>
      <c r="C118" s="80"/>
      <c r="D118" s="80"/>
      <c r="E118" s="80"/>
      <c r="F118" s="80"/>
      <c r="G118" s="80"/>
      <c r="H118" s="80"/>
      <c r="I118" s="80"/>
      <c r="J118" s="80"/>
      <c r="K118" s="80"/>
      <c r="L118" s="80"/>
      <c r="M118" s="80"/>
    </row>
    <row r="119" spans="1:24" x14ac:dyDescent="0.25">
      <c r="A119" s="80"/>
      <c r="B119" s="80"/>
      <c r="C119" s="80"/>
      <c r="D119" s="80"/>
      <c r="E119" s="80"/>
      <c r="F119" s="80"/>
      <c r="G119" s="80"/>
      <c r="H119" s="80"/>
      <c r="I119" s="80"/>
      <c r="J119" s="80"/>
      <c r="K119" s="80"/>
      <c r="L119" s="80"/>
      <c r="M119" s="80"/>
    </row>
    <row r="120" spans="1:24" x14ac:dyDescent="0.25">
      <c r="A120" s="80"/>
      <c r="B120" s="80"/>
      <c r="C120" s="80"/>
      <c r="D120" s="80"/>
      <c r="E120" s="80"/>
      <c r="F120" s="80"/>
      <c r="G120" s="80"/>
      <c r="H120" s="80"/>
      <c r="I120" s="80"/>
      <c r="J120" s="80"/>
      <c r="K120" s="80"/>
      <c r="L120" s="80"/>
      <c r="M120" s="80"/>
    </row>
    <row r="121" spans="1:24" x14ac:dyDescent="0.25">
      <c r="A121" s="80"/>
      <c r="B121" s="80"/>
      <c r="C121" s="80"/>
      <c r="D121" s="80"/>
      <c r="E121" s="80"/>
      <c r="F121" s="80"/>
      <c r="G121" s="80"/>
      <c r="H121" s="80"/>
      <c r="I121" s="80"/>
      <c r="J121" s="80"/>
      <c r="K121" s="80"/>
      <c r="L121" s="80"/>
      <c r="M121" s="80"/>
    </row>
    <row r="122" spans="1:24" x14ac:dyDescent="0.25">
      <c r="A122" s="80"/>
      <c r="B122" s="80"/>
      <c r="C122" s="80"/>
      <c r="D122" s="80"/>
      <c r="E122" s="80"/>
      <c r="F122" s="80"/>
      <c r="G122" s="80"/>
      <c r="H122" s="80"/>
      <c r="I122" s="80"/>
      <c r="J122" s="80"/>
      <c r="K122" s="80"/>
      <c r="L122" s="80"/>
      <c r="M122" s="80"/>
    </row>
    <row r="123" spans="1:24" x14ac:dyDescent="0.25">
      <c r="A123" s="80"/>
      <c r="B123" s="80"/>
      <c r="C123" s="80"/>
      <c r="D123" s="80"/>
      <c r="E123" s="80"/>
      <c r="F123" s="80"/>
      <c r="G123" s="80"/>
      <c r="H123" s="80"/>
      <c r="I123" s="80"/>
      <c r="J123" s="80"/>
      <c r="K123" s="80"/>
      <c r="L123" s="80"/>
      <c r="M123" s="80"/>
    </row>
    <row r="125" spans="1:24" x14ac:dyDescent="0.25">
      <c r="A125" s="97" t="s">
        <v>40</v>
      </c>
      <c r="B125" s="98"/>
      <c r="C125" s="98"/>
      <c r="D125" s="98"/>
      <c r="E125" s="98"/>
      <c r="F125" s="98"/>
      <c r="G125" s="98"/>
      <c r="H125" s="98"/>
      <c r="I125" s="98"/>
      <c r="J125" s="98"/>
      <c r="K125" s="98"/>
      <c r="L125" s="98"/>
      <c r="M125" s="98"/>
      <c r="N125" s="73" t="s">
        <v>87</v>
      </c>
      <c r="O125" s="73"/>
      <c r="P125" s="73"/>
      <c r="Q125" s="73"/>
      <c r="R125" s="73"/>
      <c r="S125" s="73"/>
      <c r="T125" s="73"/>
      <c r="U125" s="73"/>
      <c r="V125" s="73"/>
      <c r="W125" s="73"/>
      <c r="X125" s="73"/>
    </row>
    <row r="126" spans="1:24" ht="14.65" customHeight="1" x14ac:dyDescent="0.25">
      <c r="A126" s="64" t="s">
        <v>112</v>
      </c>
      <c r="B126" s="92"/>
      <c r="C126" s="92"/>
      <c r="D126" s="92"/>
      <c r="E126" s="92"/>
      <c r="F126" s="92"/>
      <c r="G126" s="92"/>
      <c r="H126" s="92"/>
      <c r="I126" s="92"/>
      <c r="J126" s="92"/>
      <c r="K126" s="92"/>
      <c r="L126" s="92"/>
      <c r="M126" s="92"/>
      <c r="N126" s="74" t="s">
        <v>95</v>
      </c>
      <c r="O126" s="74"/>
      <c r="P126" s="74"/>
      <c r="Q126" s="74"/>
      <c r="R126" s="74"/>
      <c r="S126" s="74"/>
      <c r="T126" s="74"/>
      <c r="U126" s="74"/>
      <c r="V126" s="74"/>
      <c r="W126" s="74"/>
      <c r="X126" s="74"/>
    </row>
    <row r="127" spans="1:24" x14ac:dyDescent="0.25">
      <c r="A127" s="92"/>
      <c r="B127" s="92"/>
      <c r="C127" s="92"/>
      <c r="D127" s="92"/>
      <c r="E127" s="92"/>
      <c r="F127" s="92"/>
      <c r="G127" s="92"/>
      <c r="H127" s="92"/>
      <c r="I127" s="92"/>
      <c r="J127" s="92"/>
      <c r="K127" s="92"/>
      <c r="L127" s="92"/>
      <c r="M127" s="92"/>
      <c r="N127" s="74"/>
      <c r="O127" s="74"/>
      <c r="P127" s="74"/>
      <c r="Q127" s="74"/>
      <c r="R127" s="74"/>
      <c r="S127" s="74"/>
      <c r="T127" s="74"/>
      <c r="U127" s="74"/>
      <c r="V127" s="74"/>
      <c r="W127" s="74"/>
      <c r="X127" s="74"/>
    </row>
    <row r="128" spans="1:24" x14ac:dyDescent="0.25">
      <c r="A128" s="92"/>
      <c r="B128" s="92"/>
      <c r="C128" s="92"/>
      <c r="D128" s="92"/>
      <c r="E128" s="92"/>
      <c r="F128" s="92"/>
      <c r="G128" s="92"/>
      <c r="H128" s="92"/>
      <c r="I128" s="92"/>
      <c r="J128" s="92"/>
      <c r="K128" s="92"/>
      <c r="L128" s="92"/>
      <c r="M128" s="92"/>
      <c r="N128" s="74"/>
      <c r="O128" s="74"/>
      <c r="P128" s="74"/>
      <c r="Q128" s="74"/>
      <c r="R128" s="74"/>
      <c r="S128" s="74"/>
      <c r="T128" s="74"/>
      <c r="U128" s="74"/>
      <c r="V128" s="74"/>
      <c r="W128" s="74"/>
      <c r="X128" s="74"/>
    </row>
    <row r="129" spans="1:24" x14ac:dyDescent="0.25">
      <c r="A129" s="92"/>
      <c r="B129" s="92"/>
      <c r="C129" s="92"/>
      <c r="D129" s="92"/>
      <c r="E129" s="92"/>
      <c r="F129" s="92"/>
      <c r="G129" s="92"/>
      <c r="H129" s="92"/>
      <c r="I129" s="92"/>
      <c r="J129" s="92"/>
      <c r="K129" s="92"/>
      <c r="L129" s="92"/>
      <c r="M129" s="92"/>
      <c r="N129" s="74"/>
      <c r="O129" s="74"/>
      <c r="P129" s="74"/>
      <c r="Q129" s="74"/>
      <c r="R129" s="74"/>
      <c r="S129" s="74"/>
      <c r="T129" s="74"/>
      <c r="U129" s="74"/>
      <c r="V129" s="74"/>
      <c r="W129" s="74"/>
      <c r="X129" s="74"/>
    </row>
    <row r="130" spans="1:24" x14ac:dyDescent="0.25">
      <c r="A130" s="92"/>
      <c r="B130" s="92"/>
      <c r="C130" s="92"/>
      <c r="D130" s="92"/>
      <c r="E130" s="92"/>
      <c r="F130" s="92"/>
      <c r="G130" s="92"/>
      <c r="H130" s="92"/>
      <c r="I130" s="92"/>
      <c r="J130" s="92"/>
      <c r="K130" s="92"/>
      <c r="L130" s="92"/>
      <c r="M130" s="92"/>
      <c r="N130" s="74"/>
      <c r="O130" s="74"/>
      <c r="P130" s="74"/>
      <c r="Q130" s="74"/>
      <c r="R130" s="74"/>
      <c r="S130" s="74"/>
      <c r="T130" s="74"/>
      <c r="U130" s="74"/>
      <c r="V130" s="74"/>
      <c r="W130" s="74"/>
      <c r="X130" s="74"/>
    </row>
    <row r="131" spans="1:24" x14ac:dyDescent="0.25">
      <c r="A131" s="92"/>
      <c r="B131" s="92"/>
      <c r="C131" s="92"/>
      <c r="D131" s="92"/>
      <c r="E131" s="92"/>
      <c r="F131" s="92"/>
      <c r="G131" s="92"/>
      <c r="H131" s="92"/>
      <c r="I131" s="92"/>
      <c r="J131" s="92"/>
      <c r="K131" s="92"/>
      <c r="L131" s="92"/>
      <c r="M131" s="92"/>
      <c r="N131" s="74"/>
      <c r="O131" s="74"/>
      <c r="P131" s="74"/>
      <c r="Q131" s="74"/>
      <c r="R131" s="74"/>
      <c r="S131" s="74"/>
      <c r="T131" s="74"/>
      <c r="U131" s="74"/>
      <c r="V131" s="74"/>
      <c r="W131" s="74"/>
      <c r="X131" s="74"/>
    </row>
    <row r="132" spans="1:24" x14ac:dyDescent="0.25">
      <c r="A132" s="93"/>
      <c r="B132" s="93"/>
      <c r="C132" s="93"/>
      <c r="D132" s="93"/>
      <c r="E132" s="93"/>
      <c r="F132" s="93"/>
      <c r="G132" s="93"/>
      <c r="H132" s="92"/>
      <c r="I132" s="92"/>
      <c r="J132" s="92"/>
      <c r="K132" s="92"/>
      <c r="L132" s="92"/>
      <c r="M132" s="92"/>
      <c r="N132" s="74"/>
      <c r="O132" s="74"/>
      <c r="P132" s="74"/>
      <c r="Q132" s="74"/>
      <c r="R132" s="74"/>
      <c r="S132" s="74"/>
      <c r="T132" s="74"/>
      <c r="U132" s="74"/>
      <c r="V132" s="74"/>
      <c r="W132" s="74"/>
      <c r="X132" s="74"/>
    </row>
    <row r="133" spans="1:24" x14ac:dyDescent="0.25">
      <c r="A133" s="94" t="s">
        <v>45</v>
      </c>
      <c r="B133" s="95"/>
      <c r="C133" s="96"/>
      <c r="D133" s="49">
        <v>3</v>
      </c>
      <c r="E133" s="94" t="s">
        <v>43</v>
      </c>
      <c r="F133" s="95"/>
      <c r="G133" s="96"/>
      <c r="N133" s="69" t="s">
        <v>45</v>
      </c>
      <c r="O133" s="70"/>
      <c r="P133" s="71"/>
      <c r="Q133" s="16">
        <v>5</v>
      </c>
      <c r="R133" s="69" t="s">
        <v>43</v>
      </c>
      <c r="S133" s="70"/>
      <c r="T133" s="71"/>
    </row>
    <row r="134" spans="1:24" x14ac:dyDescent="0.25">
      <c r="A134" s="94" t="s">
        <v>41</v>
      </c>
      <c r="B134" s="95"/>
      <c r="C134" s="96"/>
      <c r="D134" s="49">
        <v>2</v>
      </c>
      <c r="E134" s="94" t="s">
        <v>44</v>
      </c>
      <c r="F134" s="95"/>
      <c r="G134" s="96"/>
      <c r="N134" s="69" t="s">
        <v>41</v>
      </c>
      <c r="O134" s="70"/>
      <c r="P134" s="71"/>
      <c r="Q134" s="16">
        <v>2</v>
      </c>
      <c r="R134" s="69" t="s">
        <v>44</v>
      </c>
      <c r="S134" s="70"/>
      <c r="T134" s="71"/>
    </row>
    <row r="135" spans="1:24" x14ac:dyDescent="0.25">
      <c r="A135" s="94" t="s">
        <v>42</v>
      </c>
      <c r="B135" s="95"/>
      <c r="C135" s="96"/>
      <c r="D135" s="49">
        <v>120</v>
      </c>
      <c r="E135" s="94" t="s">
        <v>46</v>
      </c>
      <c r="F135" s="95"/>
      <c r="G135" s="96"/>
      <c r="N135" s="69" t="s">
        <v>42</v>
      </c>
      <c r="O135" s="70"/>
      <c r="P135" s="71"/>
      <c r="Q135" s="16">
        <v>240</v>
      </c>
      <c r="R135" s="69" t="s">
        <v>46</v>
      </c>
      <c r="S135" s="70"/>
      <c r="T135" s="71"/>
    </row>
  </sheetData>
  <sheetProtection algorithmName="SHA-512" hashValue="a3sVjorNbnkNaeyP0fEpMSIv1+NRTJjHKKl5qGiYI9muRgFhMl6i90Q4pON9kUY6dH+AXMO6chYSDqwesyrGNA==" saltValue="kZ7Z7HzhD0EbBSJBog12OQ==" spinCount="100000" sheet="1" objects="1" scenarios="1"/>
  <mergeCells count="77">
    <mergeCell ref="A2:M3"/>
    <mergeCell ref="A4:M10"/>
    <mergeCell ref="A13:M19"/>
    <mergeCell ref="A41:M45"/>
    <mergeCell ref="A21:M27"/>
    <mergeCell ref="A30:M36"/>
    <mergeCell ref="A37:D37"/>
    <mergeCell ref="A38:D38"/>
    <mergeCell ref="F37:I37"/>
    <mergeCell ref="A12:M12"/>
    <mergeCell ref="A29:M29"/>
    <mergeCell ref="F38:I38"/>
    <mergeCell ref="A39:D39"/>
    <mergeCell ref="F39:I39"/>
    <mergeCell ref="A95:C95"/>
    <mergeCell ref="E95:G95"/>
    <mergeCell ref="A135:C135"/>
    <mergeCell ref="E135:G135"/>
    <mergeCell ref="A126:M132"/>
    <mergeCell ref="A133:C133"/>
    <mergeCell ref="E133:G133"/>
    <mergeCell ref="A134:C134"/>
    <mergeCell ref="E134:G134"/>
    <mergeCell ref="A125:M125"/>
    <mergeCell ref="A116:M123"/>
    <mergeCell ref="A114:C114"/>
    <mergeCell ref="E114:G114"/>
    <mergeCell ref="A106:M106"/>
    <mergeCell ref="A97:M104"/>
    <mergeCell ref="A107:M113"/>
    <mergeCell ref="E94:G94"/>
    <mergeCell ref="A47:M47"/>
    <mergeCell ref="A66:M66"/>
    <mergeCell ref="A86:M86"/>
    <mergeCell ref="C74:G74"/>
    <mergeCell ref="C75:G75"/>
    <mergeCell ref="A94:C94"/>
    <mergeCell ref="A77:M84"/>
    <mergeCell ref="A48:M54"/>
    <mergeCell ref="A55:B55"/>
    <mergeCell ref="A87:M93"/>
    <mergeCell ref="A57:M64"/>
    <mergeCell ref="A67:M73"/>
    <mergeCell ref="N12:X12"/>
    <mergeCell ref="N13:X19"/>
    <mergeCell ref="N29:X29"/>
    <mergeCell ref="N30:X36"/>
    <mergeCell ref="N37:R37"/>
    <mergeCell ref="N125:X125"/>
    <mergeCell ref="N126:X132"/>
    <mergeCell ref="N47:X47"/>
    <mergeCell ref="N48:X54"/>
    <mergeCell ref="N66:X66"/>
    <mergeCell ref="N67:X73"/>
    <mergeCell ref="N86:X86"/>
    <mergeCell ref="N87:X93"/>
    <mergeCell ref="N55:O55"/>
    <mergeCell ref="P74:T74"/>
    <mergeCell ref="P75:T75"/>
    <mergeCell ref="N114:P114"/>
    <mergeCell ref="R114:T114"/>
    <mergeCell ref="N107:X113"/>
    <mergeCell ref="N38:R38"/>
    <mergeCell ref="T37:W37"/>
    <mergeCell ref="T38:W38"/>
    <mergeCell ref="T39:W39"/>
    <mergeCell ref="N106:X106"/>
    <mergeCell ref="N94:P94"/>
    <mergeCell ref="N95:P95"/>
    <mergeCell ref="R94:T94"/>
    <mergeCell ref="R95:T95"/>
    <mergeCell ref="N133:P133"/>
    <mergeCell ref="R133:T133"/>
    <mergeCell ref="N134:P134"/>
    <mergeCell ref="R134:T134"/>
    <mergeCell ref="N135:P135"/>
    <mergeCell ref="R135:T135"/>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7D7B-E5A9-407C-807D-0062A2F949D9}">
  <sheetPr codeName="Sheet3"/>
  <dimension ref="A2:T58"/>
  <sheetViews>
    <sheetView showGridLines="0" topLeftCell="A16" zoomScaleNormal="100" workbookViewId="0">
      <selection activeCell="B50" sqref="B50:B52"/>
    </sheetView>
  </sheetViews>
  <sheetFormatPr defaultRowHeight="15" x14ac:dyDescent="0.25"/>
  <cols>
    <col min="1" max="1" width="58.5703125" customWidth="1"/>
    <col min="2" max="2" width="12.42578125" bestFit="1" customWidth="1"/>
    <col min="3" max="3" width="18.5703125" customWidth="1"/>
    <col min="4" max="5" width="12.42578125" customWidth="1"/>
    <col min="6" max="6" width="16.85546875" customWidth="1"/>
    <col min="7" max="7" width="10.7109375" bestFit="1" customWidth="1"/>
    <col min="8" max="8" width="9.28515625" customWidth="1"/>
    <col min="9" max="9" width="12.28515625" bestFit="1" customWidth="1"/>
    <col min="10" max="10" width="10.42578125" bestFit="1" customWidth="1"/>
    <col min="11" max="11" width="12.28515625" bestFit="1" customWidth="1"/>
    <col min="12" max="12" width="10.7109375" bestFit="1" customWidth="1"/>
    <col min="13" max="13" width="10.42578125" bestFit="1" customWidth="1"/>
    <col min="14" max="14" width="12.28515625" bestFit="1" customWidth="1"/>
  </cols>
  <sheetData>
    <row r="2" spans="1:20" x14ac:dyDescent="0.25">
      <c r="A2" s="113" t="s">
        <v>53</v>
      </c>
      <c r="B2" s="114"/>
      <c r="C2" s="114"/>
      <c r="D2" s="114"/>
      <c r="E2" s="114"/>
      <c r="F2" s="115"/>
      <c r="G2" s="2"/>
      <c r="H2" s="2"/>
      <c r="I2" s="2"/>
      <c r="J2" s="2"/>
      <c r="K2" s="2"/>
      <c r="L2" s="2"/>
      <c r="M2" s="2"/>
      <c r="N2" s="2"/>
      <c r="O2" s="2"/>
    </row>
    <row r="3" spans="1:20" x14ac:dyDescent="0.25">
      <c r="A3" s="3"/>
      <c r="B3" s="2"/>
      <c r="C3" s="2"/>
      <c r="D3" s="2"/>
      <c r="E3" s="2"/>
      <c r="F3" s="2"/>
      <c r="G3" s="2"/>
      <c r="H3" s="2"/>
      <c r="I3" s="2"/>
      <c r="J3" s="2"/>
      <c r="K3" s="2"/>
      <c r="L3" s="2"/>
      <c r="M3" s="2"/>
      <c r="N3" s="2"/>
      <c r="O3" s="2"/>
    </row>
    <row r="4" spans="1:20" x14ac:dyDescent="0.25">
      <c r="A4" s="119" t="s">
        <v>99</v>
      </c>
      <c r="B4" s="119"/>
      <c r="C4" s="119"/>
      <c r="D4" s="119"/>
      <c r="E4" s="119"/>
      <c r="F4" s="119"/>
      <c r="G4" s="5"/>
      <c r="H4" s="5"/>
      <c r="I4" s="5"/>
      <c r="J4" s="5"/>
      <c r="K4" s="5"/>
      <c r="L4" s="5"/>
      <c r="M4" s="3"/>
      <c r="N4" s="3"/>
      <c r="O4" s="3"/>
      <c r="P4" s="4"/>
      <c r="Q4" s="4"/>
      <c r="R4" s="4"/>
      <c r="S4" s="4"/>
      <c r="T4" s="4"/>
    </row>
    <row r="5" spans="1:20" x14ac:dyDescent="0.25">
      <c r="A5" s="2"/>
      <c r="B5" s="2"/>
      <c r="C5" s="2"/>
      <c r="D5" s="2"/>
      <c r="E5" s="2"/>
      <c r="F5" s="2"/>
      <c r="G5" s="2"/>
      <c r="H5" s="2"/>
      <c r="I5" s="2"/>
      <c r="J5" s="2"/>
      <c r="K5" s="2"/>
      <c r="L5" s="2"/>
      <c r="M5" s="2"/>
      <c r="N5" s="2"/>
      <c r="O5" s="2"/>
    </row>
    <row r="6" spans="1:20" x14ac:dyDescent="0.25">
      <c r="A6" s="10" t="s">
        <v>75</v>
      </c>
      <c r="B6" s="49">
        <v>37.5</v>
      </c>
      <c r="C6" s="34"/>
      <c r="D6" s="2"/>
      <c r="E6" s="2"/>
      <c r="F6" s="2"/>
      <c r="G6" s="2"/>
      <c r="H6" s="2"/>
      <c r="I6" s="2"/>
      <c r="J6" s="2"/>
      <c r="K6" s="2"/>
      <c r="L6" s="2"/>
      <c r="M6" s="2"/>
      <c r="N6" s="2"/>
      <c r="O6" s="2"/>
    </row>
    <row r="7" spans="1:20" x14ac:dyDescent="0.25">
      <c r="A7" s="10" t="s">
        <v>3</v>
      </c>
      <c r="B7" s="49">
        <v>15</v>
      </c>
      <c r="C7" s="2"/>
      <c r="D7" s="111" t="s">
        <v>18</v>
      </c>
      <c r="E7" s="112"/>
      <c r="F7" s="10">
        <f>'Stage 1'!C55</f>
        <v>15</v>
      </c>
      <c r="G7" s="2"/>
      <c r="H7" s="2"/>
      <c r="I7" s="2"/>
      <c r="J7" s="2"/>
      <c r="K7" s="2"/>
      <c r="L7" s="2"/>
      <c r="M7" s="2"/>
      <c r="N7" s="2"/>
      <c r="O7" s="2"/>
    </row>
    <row r="8" spans="1:20" ht="12.95" customHeight="1" x14ac:dyDescent="0.25">
      <c r="A8" s="2"/>
      <c r="B8" s="2"/>
      <c r="C8" s="2"/>
      <c r="D8" s="2"/>
      <c r="E8" s="2"/>
      <c r="F8" s="2"/>
      <c r="G8" s="2"/>
      <c r="H8" s="2"/>
      <c r="I8" s="2"/>
      <c r="J8" s="2"/>
      <c r="K8" s="2"/>
      <c r="L8" s="2"/>
      <c r="M8" s="2"/>
      <c r="N8" s="2"/>
      <c r="O8" s="2"/>
    </row>
    <row r="9" spans="1:20" x14ac:dyDescent="0.25">
      <c r="A9" s="116" t="s">
        <v>1</v>
      </c>
      <c r="B9" s="117"/>
      <c r="C9" s="117"/>
      <c r="D9" s="117"/>
      <c r="E9" s="117"/>
      <c r="F9" s="118"/>
      <c r="G9" s="2"/>
      <c r="H9" s="2"/>
      <c r="I9" s="2"/>
      <c r="J9" s="2"/>
      <c r="K9" s="2"/>
      <c r="L9" s="2"/>
      <c r="M9" s="2"/>
      <c r="N9" s="2"/>
      <c r="O9" s="2"/>
    </row>
    <row r="10" spans="1:20" ht="60" x14ac:dyDescent="0.25">
      <c r="A10" s="21" t="s">
        <v>55</v>
      </c>
      <c r="B10" s="21" t="s">
        <v>56</v>
      </c>
      <c r="C10" s="21" t="s">
        <v>2</v>
      </c>
      <c r="D10" s="21" t="s">
        <v>54</v>
      </c>
      <c r="E10" s="21" t="s">
        <v>0</v>
      </c>
      <c r="F10" s="21" t="s">
        <v>8</v>
      </c>
      <c r="L10" s="35" t="s">
        <v>76</v>
      </c>
      <c r="M10" s="35">
        <v>8</v>
      </c>
    </row>
    <row r="11" spans="1:20" x14ac:dyDescent="0.25">
      <c r="A11" s="49" t="s">
        <v>113</v>
      </c>
      <c r="B11" s="49">
        <v>0.3</v>
      </c>
      <c r="C11" s="49">
        <v>4.5</v>
      </c>
      <c r="D11" s="49">
        <v>5</v>
      </c>
      <c r="E11" s="21">
        <f>B11*$B$6</f>
        <v>11.25</v>
      </c>
      <c r="F11" s="21">
        <f t="shared" ref="F11:F30" si="0">B11*(C11*D11)</f>
        <v>6.75</v>
      </c>
      <c r="G11" s="12"/>
      <c r="H11" s="13"/>
      <c r="I11" s="13"/>
    </row>
    <row r="12" spans="1:20" x14ac:dyDescent="0.25">
      <c r="A12" s="49" t="s">
        <v>114</v>
      </c>
      <c r="B12" s="49">
        <v>3.6</v>
      </c>
      <c r="C12" s="49">
        <v>4.5</v>
      </c>
      <c r="D12" s="49">
        <v>5</v>
      </c>
      <c r="E12" s="21">
        <f t="shared" ref="E12:E27" si="1">B12*$B$6</f>
        <v>135</v>
      </c>
      <c r="F12" s="21">
        <f t="shared" si="0"/>
        <v>81</v>
      </c>
      <c r="G12" s="12"/>
      <c r="H12" s="13"/>
      <c r="I12" s="13"/>
    </row>
    <row r="13" spans="1:20" x14ac:dyDescent="0.25">
      <c r="A13" s="49" t="s">
        <v>115</v>
      </c>
      <c r="B13" s="49">
        <v>0.3</v>
      </c>
      <c r="C13" s="49">
        <v>4.5</v>
      </c>
      <c r="D13" s="49">
        <v>5</v>
      </c>
      <c r="E13" s="21">
        <f t="shared" si="1"/>
        <v>11.25</v>
      </c>
      <c r="F13" s="21">
        <f t="shared" si="0"/>
        <v>6.75</v>
      </c>
      <c r="G13" s="12"/>
      <c r="H13" s="13"/>
      <c r="I13" s="13"/>
    </row>
    <row r="14" spans="1:20" x14ac:dyDescent="0.25">
      <c r="A14" s="49"/>
      <c r="B14" s="49"/>
      <c r="C14" s="49"/>
      <c r="D14" s="49"/>
      <c r="E14" s="21">
        <f t="shared" si="1"/>
        <v>0</v>
      </c>
      <c r="F14" s="21">
        <f t="shared" si="0"/>
        <v>0</v>
      </c>
      <c r="G14" s="12"/>
      <c r="H14" s="13"/>
      <c r="I14" s="13"/>
    </row>
    <row r="15" spans="1:20" x14ac:dyDescent="0.25">
      <c r="A15" s="49"/>
      <c r="B15" s="49"/>
      <c r="C15" s="49"/>
      <c r="D15" s="49"/>
      <c r="E15" s="21">
        <f t="shared" si="1"/>
        <v>0</v>
      </c>
      <c r="F15" s="21">
        <f t="shared" si="0"/>
        <v>0</v>
      </c>
      <c r="G15" s="12"/>
      <c r="H15" s="13"/>
      <c r="I15" s="13"/>
    </row>
    <row r="16" spans="1:20" x14ac:dyDescent="0.25">
      <c r="A16" s="49"/>
      <c r="B16" s="49"/>
      <c r="C16" s="49"/>
      <c r="D16" s="49"/>
      <c r="E16" s="21">
        <f t="shared" si="1"/>
        <v>0</v>
      </c>
      <c r="F16" s="21">
        <f t="shared" si="0"/>
        <v>0</v>
      </c>
      <c r="G16" s="12"/>
      <c r="H16" s="13"/>
      <c r="I16" s="13"/>
    </row>
    <row r="17" spans="1:9" x14ac:dyDescent="0.25">
      <c r="A17" s="49"/>
      <c r="B17" s="49"/>
      <c r="C17" s="49"/>
      <c r="D17" s="49"/>
      <c r="E17" s="21">
        <f t="shared" si="1"/>
        <v>0</v>
      </c>
      <c r="F17" s="21">
        <f t="shared" si="0"/>
        <v>0</v>
      </c>
      <c r="G17" s="12"/>
      <c r="H17" s="13"/>
      <c r="I17" s="13"/>
    </row>
    <row r="18" spans="1:9" x14ac:dyDescent="0.25">
      <c r="A18" s="49"/>
      <c r="B18" s="49"/>
      <c r="C18" s="49"/>
      <c r="D18" s="49"/>
      <c r="E18" s="21">
        <f t="shared" si="1"/>
        <v>0</v>
      </c>
      <c r="F18" s="21">
        <f t="shared" si="0"/>
        <v>0</v>
      </c>
      <c r="G18" s="12"/>
      <c r="H18" s="13"/>
      <c r="I18" s="13"/>
    </row>
    <row r="19" spans="1:9" hidden="1" x14ac:dyDescent="0.25">
      <c r="A19" s="16"/>
      <c r="B19" s="16"/>
      <c r="C19" s="16"/>
      <c r="D19" s="16"/>
      <c r="E19" s="21">
        <f t="shared" si="1"/>
        <v>0</v>
      </c>
      <c r="F19" s="21">
        <f t="shared" si="0"/>
        <v>0</v>
      </c>
      <c r="G19" s="12"/>
      <c r="H19" s="13"/>
      <c r="I19" s="13"/>
    </row>
    <row r="20" spans="1:9" hidden="1" x14ac:dyDescent="0.25">
      <c r="A20" s="16"/>
      <c r="B20" s="16"/>
      <c r="C20" s="16"/>
      <c r="D20" s="16"/>
      <c r="E20" s="21">
        <f t="shared" ref="E20:E25" si="2">B20*$B$6</f>
        <v>0</v>
      </c>
      <c r="F20" s="21">
        <f t="shared" ref="F20:F25" si="3">B20*(C20*D20)</f>
        <v>0</v>
      </c>
      <c r="G20" s="12"/>
      <c r="H20" s="13"/>
      <c r="I20" s="13"/>
    </row>
    <row r="21" spans="1:9" hidden="1" x14ac:dyDescent="0.25">
      <c r="A21" s="16"/>
      <c r="B21" s="16"/>
      <c r="C21" s="16"/>
      <c r="D21" s="16"/>
      <c r="E21" s="21">
        <f t="shared" si="2"/>
        <v>0</v>
      </c>
      <c r="F21" s="21">
        <f t="shared" si="3"/>
        <v>0</v>
      </c>
      <c r="G21" s="12"/>
      <c r="H21" s="13"/>
      <c r="I21" s="13"/>
    </row>
    <row r="22" spans="1:9" hidden="1" x14ac:dyDescent="0.25">
      <c r="A22" s="16"/>
      <c r="B22" s="16"/>
      <c r="C22" s="16"/>
      <c r="D22" s="16"/>
      <c r="E22" s="21">
        <f t="shared" si="2"/>
        <v>0</v>
      </c>
      <c r="F22" s="21">
        <f t="shared" si="3"/>
        <v>0</v>
      </c>
      <c r="G22" s="12"/>
      <c r="H22" s="13"/>
      <c r="I22" s="13"/>
    </row>
    <row r="23" spans="1:9" hidden="1" x14ac:dyDescent="0.25">
      <c r="A23" s="16"/>
      <c r="B23" s="16"/>
      <c r="C23" s="16"/>
      <c r="D23" s="16"/>
      <c r="E23" s="21">
        <f t="shared" si="2"/>
        <v>0</v>
      </c>
      <c r="F23" s="21">
        <f t="shared" si="3"/>
        <v>0</v>
      </c>
      <c r="G23" s="12"/>
      <c r="H23" s="13"/>
      <c r="I23" s="13"/>
    </row>
    <row r="24" spans="1:9" hidden="1" x14ac:dyDescent="0.25">
      <c r="A24" s="16"/>
      <c r="B24" s="16"/>
      <c r="C24" s="16"/>
      <c r="D24" s="16"/>
      <c r="E24" s="21">
        <f t="shared" si="2"/>
        <v>0</v>
      </c>
      <c r="F24" s="21">
        <f t="shared" si="3"/>
        <v>0</v>
      </c>
      <c r="G24" s="12"/>
      <c r="H24" s="13"/>
      <c r="I24" s="13"/>
    </row>
    <row r="25" spans="1:9" hidden="1" x14ac:dyDescent="0.25">
      <c r="A25" s="16"/>
      <c r="B25" s="16"/>
      <c r="C25" s="16"/>
      <c r="D25" s="16"/>
      <c r="E25" s="21">
        <f t="shared" si="2"/>
        <v>0</v>
      </c>
      <c r="F25" s="21">
        <f t="shared" si="3"/>
        <v>0</v>
      </c>
      <c r="G25" s="12"/>
      <c r="H25" s="13"/>
      <c r="I25" s="13"/>
    </row>
    <row r="26" spans="1:9" hidden="1" x14ac:dyDescent="0.25">
      <c r="A26" s="16"/>
      <c r="B26" s="16"/>
      <c r="C26" s="16"/>
      <c r="D26" s="16"/>
      <c r="E26" s="21">
        <f t="shared" si="1"/>
        <v>0</v>
      </c>
      <c r="F26" s="21">
        <f t="shared" si="0"/>
        <v>0</v>
      </c>
      <c r="G26" s="12"/>
      <c r="H26" s="13"/>
      <c r="I26" s="13"/>
    </row>
    <row r="27" spans="1:9" hidden="1" x14ac:dyDescent="0.25">
      <c r="A27" s="16"/>
      <c r="B27" s="16"/>
      <c r="C27" s="16"/>
      <c r="D27" s="16"/>
      <c r="E27" s="21">
        <f t="shared" si="1"/>
        <v>0</v>
      </c>
      <c r="F27" s="21">
        <f t="shared" si="0"/>
        <v>0</v>
      </c>
      <c r="G27" s="12"/>
      <c r="H27" s="13"/>
      <c r="I27" s="13"/>
    </row>
    <row r="28" spans="1:9" hidden="1" x14ac:dyDescent="0.25">
      <c r="A28" s="16"/>
      <c r="B28" s="16"/>
      <c r="C28" s="16"/>
      <c r="D28" s="16"/>
      <c r="E28" s="21">
        <f t="shared" ref="E28:E30" si="4">B28*$B$6</f>
        <v>0</v>
      </c>
      <c r="F28" s="21">
        <f t="shared" si="0"/>
        <v>0</v>
      </c>
      <c r="G28" s="12"/>
      <c r="H28" s="13"/>
      <c r="I28" s="13"/>
    </row>
    <row r="29" spans="1:9" hidden="1" x14ac:dyDescent="0.25">
      <c r="A29" s="16"/>
      <c r="B29" s="16"/>
      <c r="C29" s="16"/>
      <c r="D29" s="16"/>
      <c r="E29" s="21">
        <f t="shared" si="4"/>
        <v>0</v>
      </c>
      <c r="F29" s="21">
        <f t="shared" si="0"/>
        <v>0</v>
      </c>
      <c r="G29" s="12"/>
      <c r="H29" s="13"/>
      <c r="I29" s="13"/>
    </row>
    <row r="30" spans="1:9" hidden="1" x14ac:dyDescent="0.25">
      <c r="A30" s="16"/>
      <c r="B30" s="16"/>
      <c r="C30" s="16"/>
      <c r="D30" s="16"/>
      <c r="E30" s="21">
        <f t="shared" si="4"/>
        <v>0</v>
      </c>
      <c r="F30" s="21">
        <f t="shared" si="0"/>
        <v>0</v>
      </c>
      <c r="G30" s="12"/>
      <c r="H30" s="13"/>
      <c r="I30" s="13"/>
    </row>
    <row r="31" spans="1:9" s="4" customFormat="1" x14ac:dyDescent="0.25">
      <c r="B31" s="6"/>
      <c r="C31" s="7"/>
      <c r="D31" s="7"/>
      <c r="E31" s="7"/>
      <c r="F31" s="6"/>
      <c r="G31" s="8"/>
      <c r="H31" s="9"/>
      <c r="I31" s="9"/>
    </row>
    <row r="32" spans="1:9" x14ac:dyDescent="0.25">
      <c r="A32" s="22" t="s">
        <v>6</v>
      </c>
      <c r="B32" s="21">
        <f>SUM(F11:F30)</f>
        <v>94.5</v>
      </c>
      <c r="C32" s="1"/>
      <c r="D32" s="1"/>
      <c r="E32" s="1"/>
    </row>
    <row r="34" spans="1:15" ht="30" x14ac:dyDescent="0.25">
      <c r="A34" s="22" t="s">
        <v>27</v>
      </c>
      <c r="B34" s="22" t="s">
        <v>30</v>
      </c>
    </row>
    <row r="35" spans="1:15" x14ac:dyDescent="0.25">
      <c r="A35" s="22" t="s">
        <v>28</v>
      </c>
      <c r="B35" s="50">
        <v>0.1</v>
      </c>
      <c r="D35" s="111" t="s">
        <v>18</v>
      </c>
      <c r="E35" s="112"/>
      <c r="F35" s="25">
        <f>'Stage 1'!E37</f>
        <v>0.1</v>
      </c>
    </row>
    <row r="36" spans="1:15" x14ac:dyDescent="0.25">
      <c r="A36" s="22" t="s">
        <v>29</v>
      </c>
      <c r="B36" s="50">
        <v>0.1</v>
      </c>
      <c r="D36" s="111" t="s">
        <v>18</v>
      </c>
      <c r="E36" s="112"/>
      <c r="F36" s="25">
        <f>'Stage 1'!E38</f>
        <v>0.1</v>
      </c>
    </row>
    <row r="37" spans="1:15" x14ac:dyDescent="0.25">
      <c r="A37" s="22" t="s">
        <v>47</v>
      </c>
      <c r="B37" s="50">
        <v>0.1</v>
      </c>
      <c r="D37" s="111" t="s">
        <v>18</v>
      </c>
      <c r="E37" s="112"/>
      <c r="F37" s="25">
        <f>'Stage 1'!E39</f>
        <v>0.1</v>
      </c>
    </row>
    <row r="39" spans="1:15" x14ac:dyDescent="0.25">
      <c r="A39" s="22" t="s">
        <v>31</v>
      </c>
      <c r="B39" s="21">
        <f>B32-(B32*SUM(B35:B37))</f>
        <v>66.149999999999991</v>
      </c>
    </row>
    <row r="40" spans="1:15" x14ac:dyDescent="0.25">
      <c r="A40" s="22" t="s">
        <v>5</v>
      </c>
      <c r="B40" s="21">
        <f>B39/B7*60</f>
        <v>264.59999999999997</v>
      </c>
      <c r="C40" s="1"/>
      <c r="D40" s="1"/>
      <c r="E40" s="1"/>
    </row>
    <row r="41" spans="1:15" x14ac:dyDescent="0.25">
      <c r="A41" s="14"/>
      <c r="B41" s="6"/>
      <c r="C41" s="1"/>
      <c r="D41" s="1"/>
      <c r="E41" s="1"/>
    </row>
    <row r="42" spans="1:15" x14ac:dyDescent="0.25">
      <c r="A42" s="10" t="s">
        <v>32</v>
      </c>
      <c r="B42" s="6"/>
      <c r="C42" s="1"/>
      <c r="D42" s="1"/>
      <c r="E42" s="1"/>
    </row>
    <row r="43" spans="1:15" x14ac:dyDescent="0.25">
      <c r="A43" s="10" t="s">
        <v>10</v>
      </c>
      <c r="B43" s="49">
        <v>10</v>
      </c>
      <c r="C43" s="1"/>
      <c r="D43" s="111" t="s">
        <v>18</v>
      </c>
      <c r="E43" s="112"/>
      <c r="F43" s="10">
        <f>'Stage 1'!B74</f>
        <v>10</v>
      </c>
    </row>
    <row r="44" spans="1:15" x14ac:dyDescent="0.25">
      <c r="A44" s="10" t="s">
        <v>72</v>
      </c>
      <c r="B44" s="49">
        <v>10</v>
      </c>
      <c r="C44" s="1"/>
      <c r="D44" s="111" t="s">
        <v>18</v>
      </c>
      <c r="E44" s="112"/>
      <c r="F44" s="10">
        <f>'Stage 1'!B75</f>
        <v>10</v>
      </c>
    </row>
    <row r="45" spans="1:15" ht="12.95" customHeight="1" x14ac:dyDescent="0.25">
      <c r="A45" s="11"/>
      <c r="B45" s="2"/>
      <c r="C45" s="2"/>
      <c r="D45" s="2"/>
      <c r="E45" s="2"/>
      <c r="F45" s="2"/>
      <c r="G45" s="2"/>
      <c r="H45" s="2"/>
      <c r="I45" s="2"/>
      <c r="J45" s="2"/>
      <c r="K45" s="2"/>
      <c r="L45" s="2"/>
      <c r="M45" s="2"/>
      <c r="N45" s="2"/>
      <c r="O45" s="2"/>
    </row>
    <row r="46" spans="1:15" ht="12.95" customHeight="1" x14ac:dyDescent="0.25">
      <c r="A46" s="10" t="s">
        <v>7</v>
      </c>
      <c r="B46" s="49">
        <v>8</v>
      </c>
      <c r="C46" s="2"/>
      <c r="D46" s="111" t="s">
        <v>18</v>
      </c>
      <c r="E46" s="112"/>
      <c r="F46" s="10">
        <f>'Stage 1'!D94</f>
        <v>8</v>
      </c>
      <c r="G46" s="2"/>
      <c r="H46" s="2"/>
      <c r="I46" s="2"/>
      <c r="J46" s="2"/>
      <c r="K46" s="2"/>
      <c r="L46" s="2"/>
      <c r="M46" s="2"/>
      <c r="N46" s="2"/>
      <c r="O46" s="2"/>
    </row>
    <row r="47" spans="1:15" ht="12.95" customHeight="1" x14ac:dyDescent="0.25">
      <c r="A47" s="10" t="s">
        <v>73</v>
      </c>
      <c r="B47" s="49">
        <v>1</v>
      </c>
      <c r="C47" s="2"/>
      <c r="D47" s="111" t="s">
        <v>18</v>
      </c>
      <c r="E47" s="112"/>
      <c r="F47" s="10">
        <f>'Stage 1'!D95</f>
        <v>1</v>
      </c>
      <c r="G47" s="2"/>
      <c r="H47" s="2"/>
      <c r="I47" s="2"/>
      <c r="J47" s="2"/>
      <c r="K47" s="2"/>
      <c r="L47" s="2"/>
      <c r="M47" s="2"/>
      <c r="N47" s="2"/>
      <c r="O47" s="2"/>
    </row>
    <row r="48" spans="1:15" ht="12.95" customHeight="1" x14ac:dyDescent="0.25">
      <c r="C48" s="2"/>
      <c r="D48" s="2"/>
      <c r="E48" s="2"/>
      <c r="F48" s="2"/>
      <c r="G48" s="2"/>
      <c r="H48" s="2"/>
      <c r="I48" s="2"/>
      <c r="J48" s="2"/>
      <c r="K48" s="2"/>
      <c r="L48" s="2"/>
      <c r="M48" s="2"/>
      <c r="N48" s="2"/>
      <c r="O48" s="2"/>
    </row>
    <row r="49" spans="1:15" ht="12.95" customHeight="1" x14ac:dyDescent="0.25">
      <c r="A49" s="10" t="s">
        <v>74</v>
      </c>
      <c r="C49" s="2"/>
      <c r="D49" s="2"/>
      <c r="E49" s="2"/>
      <c r="F49" s="2"/>
      <c r="G49" s="2"/>
      <c r="H49" s="2"/>
      <c r="I49" s="2"/>
      <c r="J49" s="2"/>
      <c r="K49" s="2"/>
      <c r="L49" s="2"/>
      <c r="M49" s="2"/>
      <c r="N49" s="2"/>
      <c r="O49" s="2"/>
    </row>
    <row r="50" spans="1:15" x14ac:dyDescent="0.25">
      <c r="A50" s="10" t="s">
        <v>33</v>
      </c>
      <c r="B50" s="49">
        <v>3</v>
      </c>
      <c r="C50" s="1"/>
      <c r="D50" s="111" t="s">
        <v>18</v>
      </c>
      <c r="E50" s="112"/>
      <c r="F50" s="10">
        <f>'Stage 1'!D133</f>
        <v>3</v>
      </c>
    </row>
    <row r="51" spans="1:15" x14ac:dyDescent="0.25">
      <c r="A51" s="10" t="s">
        <v>34</v>
      </c>
      <c r="B51" s="49">
        <v>2</v>
      </c>
      <c r="D51" s="111" t="s">
        <v>18</v>
      </c>
      <c r="E51" s="112"/>
      <c r="F51" s="10">
        <f>'Stage 1'!D134</f>
        <v>2</v>
      </c>
    </row>
    <row r="52" spans="1:15" x14ac:dyDescent="0.25">
      <c r="A52" s="10" t="s">
        <v>35</v>
      </c>
      <c r="B52" s="49">
        <v>120</v>
      </c>
      <c r="D52" s="111" t="s">
        <v>18</v>
      </c>
      <c r="E52" s="112"/>
      <c r="F52" s="10">
        <f>'Stage 1'!D135</f>
        <v>120</v>
      </c>
    </row>
    <row r="54" spans="1:15" x14ac:dyDescent="0.25">
      <c r="A54" s="10" t="s">
        <v>69</v>
      </c>
      <c r="B54" s="21">
        <f>B52*B51*B50</f>
        <v>720</v>
      </c>
    </row>
    <row r="55" spans="1:15" x14ac:dyDescent="0.25">
      <c r="A55" s="10" t="s">
        <v>70</v>
      </c>
      <c r="B55" s="21">
        <f>B54/B7</f>
        <v>48</v>
      </c>
    </row>
    <row r="57" spans="1:15" x14ac:dyDescent="0.25">
      <c r="A57" s="10" t="s">
        <v>26</v>
      </c>
      <c r="B57" s="21">
        <f>(B43*B46)+(B44*B47)+B55</f>
        <v>138</v>
      </c>
    </row>
    <row r="58" spans="1:15" x14ac:dyDescent="0.25">
      <c r="A58" s="10" t="s">
        <v>4</v>
      </c>
      <c r="B58" s="21">
        <f>B40-B57</f>
        <v>126.59999999999997</v>
      </c>
    </row>
  </sheetData>
  <sheetProtection algorithmName="SHA-512" hashValue="vETPxx73kEjR0aCLswcOKRgtpeUpfkkjt7BUkvF7dk9RBb9l1+kf6ScwwEK3IcJ/88KLC6LfGb0vP2DBqGouOA==" saltValue="XEXnSfI2h9ZF9I/nodo8kA==" spinCount="100000" sheet="1" objects="1" scenarios="1"/>
  <mergeCells count="14">
    <mergeCell ref="D50:E50"/>
    <mergeCell ref="D51:E51"/>
    <mergeCell ref="D52:E52"/>
    <mergeCell ref="A2:F2"/>
    <mergeCell ref="D7:E7"/>
    <mergeCell ref="D46:E46"/>
    <mergeCell ref="D47:E47"/>
    <mergeCell ref="D43:E43"/>
    <mergeCell ref="D44:E44"/>
    <mergeCell ref="A9:F9"/>
    <mergeCell ref="A4:F4"/>
    <mergeCell ref="D35:E35"/>
    <mergeCell ref="D36:E36"/>
    <mergeCell ref="D37:E3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pacity_Line_Add">
                <anchor moveWithCells="1" sizeWithCells="1">
                  <from>
                    <xdr:col>6</xdr:col>
                    <xdr:colOff>742950</xdr:colOff>
                    <xdr:row>8</xdr:row>
                    <xdr:rowOff>95250</xdr:rowOff>
                  </from>
                  <to>
                    <xdr:col>8</xdr:col>
                    <xdr:colOff>200025</xdr:colOff>
                    <xdr:row>9</xdr:row>
                    <xdr:rowOff>514350</xdr:rowOff>
                  </to>
                </anchor>
              </controlPr>
            </control>
          </mc:Choice>
        </mc:AlternateContent>
        <mc:AlternateContent xmlns:mc="http://schemas.openxmlformats.org/markup-compatibility/2006">
          <mc:Choice Requires="x14">
            <control shapeId="1026" r:id="rId5" name="Button 2">
              <controlPr defaultSize="0" print="0" autoFill="0" autoPict="0" macro="[0]!Capacity_Line_Remove">
                <anchor moveWithCells="1" sizeWithCells="1">
                  <from>
                    <xdr:col>8</xdr:col>
                    <xdr:colOff>276225</xdr:colOff>
                    <xdr:row>8</xdr:row>
                    <xdr:rowOff>85725</xdr:rowOff>
                  </from>
                  <to>
                    <xdr:col>9</xdr:col>
                    <xdr:colOff>276225</xdr:colOff>
                    <xdr:row>9</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2A33-9A4C-4A28-B017-0ED03B566CD1}">
  <sheetPr codeName="Sheet4"/>
  <dimension ref="A2:G8"/>
  <sheetViews>
    <sheetView showGridLines="0" zoomScaleNormal="100" workbookViewId="0">
      <selection activeCell="C17" sqref="C17"/>
    </sheetView>
  </sheetViews>
  <sheetFormatPr defaultRowHeight="15" x14ac:dyDescent="0.25"/>
  <cols>
    <col min="1" max="1" width="45.85546875" bestFit="1" customWidth="1"/>
    <col min="2" max="2" width="10.5703125" bestFit="1" customWidth="1"/>
    <col min="3" max="3" width="33" bestFit="1" customWidth="1"/>
    <col min="6" max="6" width="16.140625" customWidth="1"/>
  </cols>
  <sheetData>
    <row r="2" spans="1:7" x14ac:dyDescent="0.25">
      <c r="A2" s="120" t="s">
        <v>57</v>
      </c>
      <c r="B2" s="120"/>
      <c r="C2" s="120"/>
      <c r="D2" s="120"/>
      <c r="E2" s="120"/>
      <c r="F2" s="120"/>
      <c r="G2" s="120"/>
    </row>
    <row r="4" spans="1:7" x14ac:dyDescent="0.25">
      <c r="A4" s="10" t="s">
        <v>9</v>
      </c>
      <c r="B4" s="10">
        <f>'Stage 2'!B58</f>
        <v>126.59999999999997</v>
      </c>
    </row>
    <row r="6" spans="1:7" x14ac:dyDescent="0.25">
      <c r="A6" s="10" t="s">
        <v>50</v>
      </c>
      <c r="B6" s="49">
        <v>9</v>
      </c>
      <c r="E6" s="111" t="s">
        <v>18</v>
      </c>
      <c r="F6" s="112"/>
      <c r="G6" s="10">
        <f>'Stage 1'!D114</f>
        <v>9</v>
      </c>
    </row>
    <row r="8" spans="1:7" x14ac:dyDescent="0.25">
      <c r="A8" s="10" t="s">
        <v>51</v>
      </c>
      <c r="B8" s="15">
        <f>B4/B6</f>
        <v>14.066666666666663</v>
      </c>
    </row>
  </sheetData>
  <sheetProtection algorithmName="SHA-512" hashValue="2gywxK2oehlRJ0m6gEchN2z0ROLUSYkU0L+F2BhJMN1qf6IV8CsCcIf5zbwRypUcrnMcBD+d5P8aHic5FTYk1Q==" saltValue="jghw01k4gNrZ9oGl/uB55Q==" spinCount="100000" sheet="1" objects="1" scenarios="1"/>
  <mergeCells count="2">
    <mergeCell ref="E6:F6"/>
    <mergeCell ref="A2:G2"/>
  </mergeCell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Version Control</vt:lpstr>
      <vt:lpstr>Intro &amp; Notes</vt:lpstr>
      <vt:lpstr>Stage 1</vt:lpstr>
      <vt:lpstr>Stage 2</vt:lpstr>
      <vt:lpstr>Stage 3</vt:lpstr>
      <vt:lpstr>CapacityCount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Wendy Rees</dc:creator>
  <cp:lastModifiedBy>Bytheway, Mark</cp:lastModifiedBy>
  <dcterms:created xsi:type="dcterms:W3CDTF">2020-03-03T12:46:07Z</dcterms:created>
  <dcterms:modified xsi:type="dcterms:W3CDTF">2023-03-30T13:37:50Z</dcterms:modified>
</cp:coreProperties>
</file>